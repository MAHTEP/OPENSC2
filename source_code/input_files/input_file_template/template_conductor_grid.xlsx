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Users\Daniele.Placido\3D Objects\OPENSC2\source_code\input_files\input_file_template\"/>
    </mc:Choice>
  </mc:AlternateContent>
  <xr:revisionPtr revIDLastSave="0" documentId="13_ncr:1_{A7F688EA-3854-450B-A0C9-7C3483614CFD}" xr6:coauthVersionLast="47" xr6:coauthVersionMax="47" xr10:uidLastSave="{00000000-0000-0000-0000-000000000000}"/>
  <bookViews>
    <workbookView xWindow="-120" yWindow="-16320" windowWidth="29040" windowHeight="15840" xr2:uid="{00000000-000D-0000-FFFF-FFFF00000000}"/>
  </bookViews>
  <sheets>
    <sheet name="GRID" sheetId="1" r:id="rId1"/>
  </sheets>
  <externalReferences>
    <externalReference r:id="rId2"/>
    <externalReference r:id="rId3"/>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3" i="1" l="1"/>
  <c r="C3" i="1"/>
  <c r="D3" i="1"/>
  <c r="A3" i="1"/>
  <c r="E1" i="1"/>
  <c r="A1" i="1"/>
  <c r="E7" i="1"/>
  <c r="E2" i="1" l="1"/>
  <c r="B1" i="1" s="1"/>
  <c r="E3" i="1"/>
</calcChain>
</file>

<file path=xl/sharedStrings.xml><?xml version="1.0" encoding="utf-8"?>
<sst xmlns="http://schemas.openxmlformats.org/spreadsheetml/2006/main" count="44" uniqueCount="26">
  <si>
    <t>NELEMS</t>
  </si>
  <si>
    <t>m</t>
  </si>
  <si>
    <t>-</t>
  </si>
  <si>
    <t>integer</t>
  </si>
  <si>
    <t>float</t>
  </si>
  <si>
    <t>ITYMSH</t>
  </si>
  <si>
    <t>NELREF</t>
  </si>
  <si>
    <t>XBREFI</t>
  </si>
  <si>
    <t>XEREFI</t>
  </si>
  <si>
    <t>SIZMIN</t>
  </si>
  <si>
    <t>SIZMAX</t>
  </si>
  <si>
    <t>MAXNOD</t>
  </si>
  <si>
    <t>DXINCRE_LEFT</t>
  </si>
  <si>
    <t>DXINCRE_RIGHT</t>
  </si>
  <si>
    <t>NELEMS_REFINEMENT</t>
  </si>
  <si>
    <t>Number of evenly spaced elements used in adaptive mesh to split each element that need refinement. So, if an element of lenght 1 m should be refined and NELEMS_REFINEMEN = 2, the element will be splitted into two elements of lenght 0.5 m each. This parameters is used only if flag ITYMSH is set to 2 or 3.</t>
  </si>
  <si>
    <t xml:space="preserve">Minimum spatial mesh size. This input argument is relevant if flag ITYMSH is set to 1 (static refined grid), 2 (adaptive grid from initial uniform grid) or 3 (adaptive grid from initial refined grid).                                                                                                                                  </t>
  </si>
  <si>
    <t xml:space="preserve">Flag to select the grid type: 0 = static and uniform grid; 1 = static and refined grid; 2 = adaptive grid from intial uniform grid; 3 = adaptive grid from initial refined grid; - 1 grid loaded from file; in this case the z coordinates of the conductor components must be exactly the same for each conudctor component objets.                                                                     </t>
  </si>
  <si>
    <t xml:space="preserve">Maximum spatial mesh size. This input argument is relevant if flag ITYMSH is set to 1 (static refined grid), 2 (adaptive grid from initial uniform grid) or 3 (adaptive grid from initial refined grid).                                                                                                                                 </t>
  </si>
  <si>
    <t>Number of spatial elements in the refined zone; used if flag ITYMSH is set to  1 (static refined grid) or 3 (adaptive grid from initial refined grid).</t>
  </si>
  <si>
    <t>Starting point of the refined zone; used if flag ITYMSH is set to  1 (static refined grid) or 3 (adaptive grid from initial refined grid).</t>
  </si>
  <si>
    <t>End point of the refined zone; used if flag ITYMSH is set to  1 (static refined grid) or 3 (adaptive grid from initial refined grid).</t>
  </si>
  <si>
    <t>Size increase ratio for the spatial mesh, used for the region to the left of the refined region. This input argument is used if flag ITYMSH is set to  1 (static refined grid) or 3 (adaptive grid from initial refined grid).</t>
  </si>
  <si>
    <t>Size increase ratio for the spatial mesh, used for the region to the right of the refined region. This input argument is used if flag ITYMSH is set to  1 (static refined grid) or 3 (adaptive grid from initial refined grid).</t>
  </si>
  <si>
    <t>Maximum number of nodes for conductor spatial discretization</t>
  </si>
  <si>
    <t>Number of elements used to discretize the mesh. If grid is static (ITYMSH = 0 or ITYMNSH = 1), NELEMS is the number of nodes used in the whole simulation. If grid is adaptive (ITYMSH = 2 or ITYMNSH = 3), NELEMS is used to evaluate the initial mesh and to identify the hard nodes, i.e. the set of minimum nodes on which the solution will be available. The number of nodes can be increased by the algorithm up to MAXNOD locally adding soft nodes in regions with strong gradients (nearby the quench fronts). If grid is loaded from auxiliary input files (ITYMNSH = -1), this parameter is ignored.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</si>
</sst>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pplyProtection="1">
      <alignment horizontal="center" vertical="center"/>
      <protection locked="0"/>
    </xf>
    <xf numFmtId="0" fontId="0" fillId="0" borderId="0" xfId="0" applyProtection="1">
      <protection locked="0"/>
    </xf>
    <xf numFmtId="0" fontId="0" fillId="0" borderId="0" xfId="0"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vertical="center"/>
    </xf>
    <xf numFmtId="0" fontId="1" fillId="0" borderId="0" xfId="0" applyFont="1" applyAlignment="1" applyProtection="1">
      <alignment vertical="center"/>
      <protection locked="0"/>
    </xf>
    <xf numFmtId="0" fontId="0" fillId="0" borderId="0" xfId="0" applyAlignment="1" applyProtection="1">
      <alignment vertical="center"/>
      <protection locked="0"/>
    </xf>
    <xf numFmtId="0" fontId="1" fillId="0" borderId="0" xfId="0" applyFont="1" applyAlignment="1">
      <alignment vertical="center"/>
    </xf>
    <xf numFmtId="0" fontId="0" fillId="0" borderId="0" xfId="0" applyAlignment="1" applyProtection="1">
      <alignment vertical="center" wrapText="1"/>
      <protection locked="0"/>
    </xf>
    <xf numFmtId="1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template_conductor_definitio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template_transitory_in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DUCTOR_files"/>
      <sheetName val="CONDUCTOR_input"/>
      <sheetName val="CONDUCTOR_operation"/>
      <sheetName val="CONDUCTOR_coupling"/>
    </sheetNames>
    <sheetDataSet>
      <sheetData sheetId="0">
        <row r="1">
          <cell r="A1" t="str">
            <v>CONDUCTOR</v>
          </cell>
          <cell r="E1">
            <v>1</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SIENT"/>
    </sheetNames>
    <sheetDataSet>
      <sheetData sheetId="0">
        <row r="2">
          <cell r="A2" t="str">
            <v>Variable name</v>
          </cell>
          <cell r="B2" t="str">
            <v>Unit</v>
          </cell>
          <cell r="C2" t="str">
            <v>Variable type</v>
          </cell>
          <cell r="D2" t="str">
            <v>Note/comments</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
  <sheetViews>
    <sheetView tabSelected="1" zoomScaleNormal="100" workbookViewId="0">
      <pane xSplit="1" ySplit="3" topLeftCell="B4" activePane="bottomRight" state="frozen"/>
      <selection pane="topRight" activeCell="B1" sqref="B1"/>
      <selection pane="bottomLeft" activeCell="A4" sqref="A4"/>
      <selection pane="bottomRight" activeCell="D6" sqref="D6"/>
    </sheetView>
  </sheetViews>
  <sheetFormatPr defaultColWidth="8.81640625" defaultRowHeight="14.5" x14ac:dyDescent="0.35"/>
  <cols>
    <col min="1" max="1" width="12.54296875" style="7" bestFit="1" customWidth="1"/>
    <col min="2" max="2" width="4.54296875" style="3" bestFit="1" customWidth="1"/>
    <col min="3" max="3" width="12.1796875" style="3" bestFit="1" customWidth="1"/>
    <col min="4" max="4" width="60.453125" style="9" customWidth="1"/>
    <col min="5" max="5" width="14" style="3" bestFit="1" customWidth="1"/>
    <col min="6" max="16384" width="8.81640625" style="2"/>
  </cols>
  <sheetData>
    <row r="1" spans="1:5" x14ac:dyDescent="0.35">
      <c r="A1" s="5" t="str">
        <f>[1]CONDUCTOR_files!$A$1</f>
        <v>CONDUCTOR</v>
      </c>
      <c r="B1" s="5">
        <f>SUM(E2:AE2)</f>
        <v>1</v>
      </c>
      <c r="C1" s="1"/>
      <c r="D1" s="8"/>
      <c r="E1" s="4">
        <f>[1]CONDUCTOR_files!E$1</f>
        <v>1</v>
      </c>
    </row>
    <row r="2" spans="1:5" x14ac:dyDescent="0.35">
      <c r="A2" s="6"/>
      <c r="B2" s="1"/>
      <c r="C2" s="1"/>
      <c r="E2" s="4">
        <f>IF(E$1 &gt; 0,1,0)</f>
        <v>1</v>
      </c>
    </row>
    <row r="3" spans="1:5" x14ac:dyDescent="0.35">
      <c r="A3" s="5" t="str">
        <f>[2]TRANSIENT!A$2</f>
        <v>Variable name</v>
      </c>
      <c r="B3" s="5" t="str">
        <f>[2]TRANSIENT!B$2</f>
        <v>Unit</v>
      </c>
      <c r="C3" s="5" t="str">
        <f>[2]TRANSIENT!C$2</f>
        <v>Variable type</v>
      </c>
      <c r="D3" s="5" t="str">
        <f>[2]TRANSIENT!D$2</f>
        <v>Note/comments</v>
      </c>
      <c r="E3" s="4" t="str">
        <f>_xlfn.TEXTJOIN("_",,$A$1,E$1)</f>
        <v>CONDUCTOR_1</v>
      </c>
    </row>
    <row r="4" spans="1:5" ht="72.5" x14ac:dyDescent="0.35">
      <c r="A4" s="7" t="s">
        <v>5</v>
      </c>
      <c r="B4" s="3" t="s">
        <v>2</v>
      </c>
      <c r="C4" s="3" t="s">
        <v>3</v>
      </c>
      <c r="D4" s="9" t="s">
        <v>17</v>
      </c>
      <c r="E4" s="11">
        <v>0</v>
      </c>
    </row>
    <row r="5" spans="1:5" ht="130.5" x14ac:dyDescent="0.35">
      <c r="A5" s="7" t="s">
        <v>0</v>
      </c>
      <c r="B5" s="3" t="s">
        <v>2</v>
      </c>
      <c r="C5" s="3" t="s">
        <v>3</v>
      </c>
      <c r="D5" s="9" t="s">
        <v>25</v>
      </c>
      <c r="E5" s="11">
        <v>200</v>
      </c>
    </row>
    <row r="6" spans="1:5" ht="43.5" x14ac:dyDescent="0.35">
      <c r="A6" s="7" t="s">
        <v>6</v>
      </c>
      <c r="B6" s="3" t="s">
        <v>2</v>
      </c>
      <c r="C6" s="3" t="s">
        <v>3</v>
      </c>
      <c r="D6" s="9" t="s">
        <v>19</v>
      </c>
      <c r="E6" s="11">
        <v>0</v>
      </c>
    </row>
    <row r="7" spans="1:5" ht="29" x14ac:dyDescent="0.35">
      <c r="A7" s="7" t="s">
        <v>7</v>
      </c>
      <c r="B7" s="3" t="s">
        <v>1</v>
      </c>
      <c r="C7" s="3" t="s">
        <v>4</v>
      </c>
      <c r="D7" s="9" t="s">
        <v>20</v>
      </c>
      <c r="E7" s="10">
        <f>26</f>
        <v>26</v>
      </c>
    </row>
    <row r="8" spans="1:5" ht="29" x14ac:dyDescent="0.35">
      <c r="A8" s="7" t="s">
        <v>8</v>
      </c>
      <c r="B8" s="3" t="s">
        <v>1</v>
      </c>
      <c r="C8" s="3" t="s">
        <v>4</v>
      </c>
      <c r="D8" s="9" t="s">
        <v>21</v>
      </c>
      <c r="E8" s="10">
        <v>33</v>
      </c>
    </row>
    <row r="9" spans="1:5" ht="43.5" x14ac:dyDescent="0.35">
      <c r="A9" s="7" t="s">
        <v>9</v>
      </c>
      <c r="B9" s="3" t="s">
        <v>1</v>
      </c>
      <c r="C9" s="3" t="s">
        <v>4</v>
      </c>
      <c r="D9" s="9" t="s">
        <v>16</v>
      </c>
      <c r="E9" s="10">
        <v>0.5</v>
      </c>
    </row>
    <row r="10" spans="1:5" ht="43.5" x14ac:dyDescent="0.35">
      <c r="A10" s="7" t="s">
        <v>10</v>
      </c>
      <c r="B10" s="3" t="s">
        <v>1</v>
      </c>
      <c r="C10" s="3" t="s">
        <v>4</v>
      </c>
      <c r="D10" s="9" t="s">
        <v>18</v>
      </c>
      <c r="E10" s="10">
        <v>2</v>
      </c>
    </row>
    <row r="11" spans="1:5" ht="43.5" x14ac:dyDescent="0.35">
      <c r="A11" s="7" t="s">
        <v>12</v>
      </c>
      <c r="B11" s="3" t="s">
        <v>2</v>
      </c>
      <c r="C11" s="3" t="s">
        <v>4</v>
      </c>
      <c r="D11" s="9" t="s">
        <v>22</v>
      </c>
      <c r="E11" s="10">
        <v>1.2</v>
      </c>
    </row>
    <row r="12" spans="1:5" ht="43.5" x14ac:dyDescent="0.35">
      <c r="A12" s="7" t="s">
        <v>13</v>
      </c>
      <c r="B12" s="3" t="s">
        <v>2</v>
      </c>
      <c r="C12" s="3" t="s">
        <v>4</v>
      </c>
      <c r="D12" s="9" t="s">
        <v>23</v>
      </c>
      <c r="E12" s="10">
        <v>1.2</v>
      </c>
    </row>
    <row r="13" spans="1:5" ht="72.5" x14ac:dyDescent="0.35">
      <c r="A13" s="7" t="s">
        <v>14</v>
      </c>
      <c r="B13" s="3" t="s">
        <v>2</v>
      </c>
      <c r="C13" s="3" t="s">
        <v>3</v>
      </c>
      <c r="D13" s="9" t="s">
        <v>15</v>
      </c>
      <c r="E13" s="10">
        <v>4</v>
      </c>
    </row>
    <row r="14" spans="1:5" x14ac:dyDescent="0.35">
      <c r="A14" s="7" t="s">
        <v>11</v>
      </c>
      <c r="B14" s="3" t="s">
        <v>2</v>
      </c>
      <c r="C14" s="3" t="s">
        <v>3</v>
      </c>
      <c r="D14" s="9" t="s">
        <v>24</v>
      </c>
      <c r="E14" s="3">
        <v>10001</v>
      </c>
    </row>
  </sheetData>
  <sheetProtection formatCells="0" formatColumns="0" formatRows="0" insertColumns="0" insertRows="0" insertHyperlinks="0" deleteColumns="0" deleteRows="0" sort="0" autoFilter="0" pivotTables="0"/>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GRID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laura</dc:creator>
  <cp:lastModifiedBy>Daniele  Placido</cp:lastModifiedBy>
  <dcterms:created xsi:type="dcterms:W3CDTF">2019-12-21T11:17:14Z</dcterms:created>
  <dcterms:modified xsi:type="dcterms:W3CDTF">2024-05-02T12:37:20Z</dcterms:modified>
</cp:coreProperties>
</file>