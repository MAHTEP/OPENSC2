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ele.Placido\3D Objects\OPENSC2\source_code\input_files\input_file_template\"/>
    </mc:Choice>
  </mc:AlternateContent>
  <xr:revisionPtr revIDLastSave="0" documentId="13_ncr:1_{1EA91605-2119-4BBC-8F1D-8C39A707C06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GRID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A3" i="1"/>
  <c r="E1" i="1"/>
  <c r="A1" i="1"/>
  <c r="E7" i="1"/>
  <c r="E2" i="1" l="1"/>
  <c r="B1" i="1" s="1"/>
  <c r="E3" i="1"/>
</calcChain>
</file>

<file path=xl/sharedStrings.xml><?xml version="1.0" encoding="utf-8"?>
<sst xmlns="http://schemas.openxmlformats.org/spreadsheetml/2006/main" count="43" uniqueCount="25">
  <si>
    <t>NELEMS</t>
  </si>
  <si>
    <t>m</t>
  </si>
  <si>
    <t>-</t>
  </si>
  <si>
    <t>integer</t>
  </si>
  <si>
    <t>float</t>
  </si>
  <si>
    <t>ITYMSH</t>
  </si>
  <si>
    <t>NELREF</t>
  </si>
  <si>
    <t>XBREFI</t>
  </si>
  <si>
    <t>XEREFI</t>
  </si>
  <si>
    <t>SIZMIN</t>
  </si>
  <si>
    <t>SIZMAX</t>
  </si>
  <si>
    <t xml:space="preserve"> number of spatial elements in the refined zone                                                                                                 </t>
  </si>
  <si>
    <t xml:space="preserve">starting point of the refined zone                                                                          </t>
  </si>
  <si>
    <t xml:space="preserve">end point of the refined zone                                                                          </t>
  </si>
  <si>
    <t xml:space="preserve">minimum spatial mesh size (if refined)                                                                                                                                      </t>
  </si>
  <si>
    <t xml:space="preserve">maximum spatial mesh size (if refined)                                                                                                                                      </t>
  </si>
  <si>
    <t xml:space="preserve">flag for mesh type: 0 = fixed and uniform; 1 = fixed refined; 3 = adapted with initial refinement; - 1 from file; in this case the z coordinates of the conductor components must be exactly the same for each conudctor component objets.                                                                     </t>
  </si>
  <si>
    <t>MAXNOD</t>
  </si>
  <si>
    <t xml:space="preserve"> maximum number of nodes for conductor spatial discretization</t>
  </si>
  <si>
    <t>DXINCRE_LEFT</t>
  </si>
  <si>
    <t>size increase ratio for the spatial mesh, used for the region to the left of the refined region.</t>
  </si>
  <si>
    <t>DXINCRE_RIGHT</t>
  </si>
  <si>
    <t>size increase ratio for the spatial mesh, used for the region to the right of the refined region.</t>
  </si>
  <si>
    <t>NELEMS_REFINEMENT</t>
  </si>
  <si>
    <t>Number of evenly spaced elements used in adaptive mesh to split each element that need refinement. So, if an element of lenght 1 m should be refined and NELEMS_REFINEMEN = 2, the element will be splitted into two elements of lenght 0.5 m each. This parameters is used only if flag ITYMSH is set to 2 or 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</si>
</sst>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  <xf numFmtId="0" fontId="1" fillId="0" borderId="0" xfId="0" applyFont="1" applyAlignment="1">
      <alignment vertical="center"/>
    </xf>
    <xf numFmtId="0" fontId="0" fillId="0" borderId="0" xfId="0" applyAlignment="1" applyProtection="1">
      <alignment vertical="center" wrapText="1"/>
      <protection locked="0"/>
    </xf>
    <xf numFmtId="11" fontId="0" fillId="0" borderId="0" xfId="0" applyNumberFormat="1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mplate_conductor_definition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mplate_transitory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DUCTOR_files"/>
      <sheetName val="CONDUCTOR_input"/>
      <sheetName val="CONDUCTOR_operation"/>
      <sheetName val="CONDUCTOR_coupling"/>
    </sheetNames>
    <sheetDataSet>
      <sheetData sheetId="0">
        <row r="1">
          <cell r="A1" t="str">
            <v>CONDUCTOR</v>
          </cell>
          <cell r="E1">
            <v>1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ANSIENT"/>
    </sheetNames>
    <sheetDataSet>
      <sheetData sheetId="0">
        <row r="2">
          <cell r="A2" t="str">
            <v>Variable name</v>
          </cell>
          <cell r="B2" t="str">
            <v>Unit</v>
          </cell>
          <cell r="C2" t="str">
            <v>Variable type</v>
          </cell>
          <cell r="D2" t="str">
            <v>Note/comments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zoomScaleNormal="100" workbookViewId="0">
      <pane xSplit="1" ySplit="3" topLeftCell="B6" activePane="bottomRight" state="frozen"/>
      <selection pane="topRight" activeCell="B1" sqref="B1"/>
      <selection pane="bottomLeft" activeCell="A4" sqref="A4"/>
      <selection pane="bottomRight" activeCell="H13" sqref="H13"/>
    </sheetView>
  </sheetViews>
  <sheetFormatPr defaultColWidth="8.81640625" defaultRowHeight="14.5" x14ac:dyDescent="0.35"/>
  <cols>
    <col min="1" max="1" width="12.54296875" style="7" bestFit="1" customWidth="1"/>
    <col min="2" max="2" width="4.54296875" style="3" bestFit="1" customWidth="1"/>
    <col min="3" max="3" width="12.1796875" style="3" bestFit="1" customWidth="1"/>
    <col min="4" max="4" width="60.453125" style="9" customWidth="1"/>
    <col min="5" max="5" width="14" style="3" bestFit="1" customWidth="1"/>
    <col min="6" max="16384" width="8.81640625" style="2"/>
  </cols>
  <sheetData>
    <row r="1" spans="1:5" x14ac:dyDescent="0.35">
      <c r="A1" s="5" t="str">
        <f>[1]CONDUCTOR_files!$A$1</f>
        <v>CONDUCTOR</v>
      </c>
      <c r="B1" s="5">
        <f>SUM(E2:AE2)</f>
        <v>1</v>
      </c>
      <c r="C1" s="1"/>
      <c r="D1" s="8"/>
      <c r="E1" s="4">
        <f>[1]CONDUCTOR_files!E$1</f>
        <v>1</v>
      </c>
    </row>
    <row r="2" spans="1:5" x14ac:dyDescent="0.35">
      <c r="A2" s="6"/>
      <c r="B2" s="1"/>
      <c r="C2" s="1"/>
      <c r="E2" s="4">
        <f>IF(E$1 &gt; 0,1,0)</f>
        <v>1</v>
      </c>
    </row>
    <row r="3" spans="1:5" x14ac:dyDescent="0.35">
      <c r="A3" s="5" t="str">
        <f>[2]TRANSIENT!A$2</f>
        <v>Variable name</v>
      </c>
      <c r="B3" s="5" t="str">
        <f>[2]TRANSIENT!B$2</f>
        <v>Unit</v>
      </c>
      <c r="C3" s="5" t="str">
        <f>[2]TRANSIENT!C$2</f>
        <v>Variable type</v>
      </c>
      <c r="D3" s="5" t="str">
        <f>[2]TRANSIENT!D$2</f>
        <v>Note/comments</v>
      </c>
      <c r="E3" s="4" t="str">
        <f>_xlfn.TEXTJOIN("_",,$A$1,E$1)</f>
        <v>CONDUCTOR_1</v>
      </c>
    </row>
    <row r="4" spans="1:5" x14ac:dyDescent="0.35">
      <c r="A4" s="7" t="s">
        <v>0</v>
      </c>
      <c r="B4" s="3" t="s">
        <v>2</v>
      </c>
      <c r="C4" s="3" t="s">
        <v>3</v>
      </c>
      <c r="E4" s="11">
        <v>200</v>
      </c>
    </row>
    <row r="5" spans="1:5" ht="58" x14ac:dyDescent="0.35">
      <c r="A5" s="7" t="s">
        <v>5</v>
      </c>
      <c r="B5" s="3" t="s">
        <v>2</v>
      </c>
      <c r="C5" s="3" t="s">
        <v>3</v>
      </c>
      <c r="D5" s="9" t="s">
        <v>16</v>
      </c>
      <c r="E5" s="11">
        <v>0</v>
      </c>
    </row>
    <row r="6" spans="1:5" x14ac:dyDescent="0.35">
      <c r="A6" s="7" t="s">
        <v>6</v>
      </c>
      <c r="B6" s="3" t="s">
        <v>2</v>
      </c>
      <c r="C6" s="3" t="s">
        <v>3</v>
      </c>
      <c r="D6" s="9" t="s">
        <v>11</v>
      </c>
      <c r="E6" s="11">
        <v>0</v>
      </c>
    </row>
    <row r="7" spans="1:5" x14ac:dyDescent="0.35">
      <c r="A7" s="7" t="s">
        <v>7</v>
      </c>
      <c r="B7" s="3" t="s">
        <v>1</v>
      </c>
      <c r="C7" s="3" t="s">
        <v>4</v>
      </c>
      <c r="D7" s="9" t="s">
        <v>12</v>
      </c>
      <c r="E7" s="10">
        <f>26</f>
        <v>26</v>
      </c>
    </row>
    <row r="8" spans="1:5" x14ac:dyDescent="0.35">
      <c r="A8" s="7" t="s">
        <v>8</v>
      </c>
      <c r="B8" s="3" t="s">
        <v>1</v>
      </c>
      <c r="C8" s="3" t="s">
        <v>4</v>
      </c>
      <c r="D8" s="9" t="s">
        <v>13</v>
      </c>
      <c r="E8" s="10">
        <v>33</v>
      </c>
    </row>
    <row r="9" spans="1:5" x14ac:dyDescent="0.35">
      <c r="A9" s="7" t="s">
        <v>9</v>
      </c>
      <c r="B9" s="3" t="s">
        <v>1</v>
      </c>
      <c r="C9" s="3" t="s">
        <v>4</v>
      </c>
      <c r="D9" s="9" t="s">
        <v>14</v>
      </c>
      <c r="E9" s="10">
        <v>0.5</v>
      </c>
    </row>
    <row r="10" spans="1:5" x14ac:dyDescent="0.35">
      <c r="A10" s="7" t="s">
        <v>10</v>
      </c>
      <c r="B10" s="3" t="s">
        <v>1</v>
      </c>
      <c r="C10" s="3" t="s">
        <v>4</v>
      </c>
      <c r="D10" s="9" t="s">
        <v>15</v>
      </c>
      <c r="E10" s="10">
        <v>2</v>
      </c>
    </row>
    <row r="11" spans="1:5" ht="29" x14ac:dyDescent="0.35">
      <c r="A11" s="7" t="s">
        <v>19</v>
      </c>
      <c r="B11" s="3" t="s">
        <v>2</v>
      </c>
      <c r="C11" s="3" t="s">
        <v>4</v>
      </c>
      <c r="D11" s="9" t="s">
        <v>20</v>
      </c>
      <c r="E11" s="10">
        <v>1.2</v>
      </c>
    </row>
    <row r="12" spans="1:5" ht="29" x14ac:dyDescent="0.35">
      <c r="A12" s="7" t="s">
        <v>21</v>
      </c>
      <c r="B12" s="3" t="s">
        <v>2</v>
      </c>
      <c r="C12" s="3" t="s">
        <v>4</v>
      </c>
      <c r="D12" s="9" t="s">
        <v>22</v>
      </c>
      <c r="E12" s="10">
        <v>1.2</v>
      </c>
    </row>
    <row r="13" spans="1:5" ht="72.5" x14ac:dyDescent="0.35">
      <c r="A13" s="7" t="s">
        <v>23</v>
      </c>
      <c r="B13" s="3" t="s">
        <v>2</v>
      </c>
      <c r="C13" s="3" t="s">
        <v>3</v>
      </c>
      <c r="D13" s="9" t="s">
        <v>24</v>
      </c>
      <c r="E13" s="10">
        <v>4</v>
      </c>
    </row>
    <row r="14" spans="1:5" x14ac:dyDescent="0.35">
      <c r="A14" s="7" t="s">
        <v>17</v>
      </c>
      <c r="B14" s="3" t="s">
        <v>2</v>
      </c>
      <c r="C14" s="3" t="s">
        <v>3</v>
      </c>
      <c r="D14" s="9" t="s">
        <v>18</v>
      </c>
      <c r="E14" s="3">
        <v>10001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</dc:creator>
  <cp:lastModifiedBy>Daniele  Placido</cp:lastModifiedBy>
  <dcterms:created xsi:type="dcterms:W3CDTF">2019-12-21T11:17:14Z</dcterms:created>
  <dcterms:modified xsi:type="dcterms:W3CDTF">2024-05-02T10:50:08Z</dcterms:modified>
</cp:coreProperties>
</file>