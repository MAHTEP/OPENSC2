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2c658e8e2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2502da473a0d4381"/>
    <x:sheet xmlns:r="http://schemas.openxmlformats.org/officeDocument/2006/relationships" name="STACK" sheetId="5" r:id="Rd8d39bf58e2f4e80"/>
    <x:sheet xmlns:r="http://schemas.openxmlformats.org/officeDocument/2006/relationships" name="STR_MIX" sheetId="3" r:id="Re88592fac6ff492c"/>
    <x:sheet xmlns:r="http://schemas.openxmlformats.org/officeDocument/2006/relationships" name="STR_STAB" sheetId="6" r:id="R68b706c4316442dc"/>
    <x:sheet xmlns:r="http://schemas.openxmlformats.org/officeDocument/2006/relationships" name="Z_JACKET" sheetId="4" r:id="Re3c02a87c5364c59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<x:sst xmlns:x="http://schemas.openxmlformats.org/spreadsheetml/2006/main">
  <x:si>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</x:si>
  <x:si>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</x:si>
  <x:si>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CROSSECTION</x:t>
  </x:si>
  <x:si>
    <x:t xml:space="preserve">m2</x:t>
  </x:si>
  <x:si>
    <x:t xml:space="preserve">float</x:t>
  </x:si>
  <x:si>
    <x:t xml:space="preserve">cross section</x:t>
  </x:si>
  <x:si>
    <x:t xml:space="preserve">X_barycenter</x:t>
  </x:si>
  <x:si>
    <x:t xml:space="preserve">m</x:t>
  </x:si>
  <x:si>
    <x:t xml:space="preserve">Y_barycenter</x:t>
  </x:si>
  <x:si>
    <x:t xml:space="preserve">FLUID_TYPE</x:t>
  </x:si>
  <x:si>
    <x:t xml:space="preserve">-</x:t>
  </x:si>
  <x:si>
    <x:t xml:space="preserve">string</x:t>
  </x:si>
  <x:si>
    <x:t xml:space="preserve">type of fluid</x:t>
  </x:si>
  <x:si>
    <x:t xml:space="preserve">HYDIAMETER</x:t>
  </x:si>
  <x:si>
    <x:t xml:space="preserve">hydraulic diameter</x:t>
  </x:si>
  <x:si>
    <x:t xml:space="preserve">Roughness</x:t>
  </x:si>
  <x:si>
    <x:t xml:space="preserve">channel equivalent roughness</x:t>
  </x:si>
  <x:si>
    <x:t xml:space="preserve">COSTETA</x:t>
  </x:si>
  <x:si>
    <x:t xml:space="preserve">angle wrt axis</x:t>
  </x:si>
  <x:si>
    <x:t xml:space="preserve">VOID_FRACTION</x:t>
  </x:si>
  <x:si>
    <x:t xml:space="preserve">IFRICTION</x:t>
  </x:si>
  <x:si>
    <x:t xml:space="preserve">integer</x:t>
  </x:si>
  <x:si>
    <x:t xml:space="preserve">FLAG FRICTION MODEL</x:t>
  </x:si>
  <x:si>
    <x:t xml:space="preserve">FRICTION_MULTIPLIER</x:t>
  </x:si>
  <x:si>
    <x:t xml:space="preserve">multiplier of the friction factor, defined for each channel (For the bundle,  </x:t>
  </x:si>
  <x:si>
    <x:t xml:space="preserve">ISRECTANGULAR</x:t>
  </x:si>
  <x:si>
    <x:t xml:space="preserve">boolean</x:t>
  </x:si>
  <x:si>
    <x:t xml:space="preserve">SIDE1</x:t>
  </x:si>
  <x:si>
    <x:t xml:space="preserve">SIDE2</x:t>
  </x:si>
  <x:si>
    <x:t xml:space="preserve">CHANNEL_TYPE</x:t>
  </x:si>
  <x:si>
    <x:t xml:space="preserve">string that identifies the type of the channel (hole, bundle)</x:t>
  </x:si>
  <x:si>
    <x:t xml:space="preserve">Flag_htc_steady_corr</x:t>
  </x:si>
  <x:si>
    <x:t xml:space="preserve">flag to select the correlation used to evaluate the channel steady state heat transfer coefficient</x:t>
  </x:si>
  <x:si>
    <x:t xml:space="preserve">Show_fig</x:t>
  </x:si>
  <x:si>
    <x:t xml:space="preserve">flag to show the real time plots of the maximum temperature and of the inlet and outlet mass flow rate of the channel. Possible values True, False; defaults to True. </x:t>
  </x:si>
  <x:si>
    <x:t xml:space="preserve">element of the type "SC strands"</x:t>
  </x:si>
  <x:si>
    <x:t xml:space="preserve">row used to get the correct number of superconductor strands objects in cell B1 as the sum of values in this row starting from cell D2</x:t>
  </x:si>
  <x:si>
    <x:t xml:space="preserve">element of the type "SC+Cu strands"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</x:si>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</x:sst>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77b785a014ed3" /><Relationship Type="http://schemas.openxmlformats.org/officeDocument/2006/relationships/theme" Target="/xl/theme/theme1.xml" Id="R91d817e121b54e20" /><Relationship Type="http://schemas.microsoft.com/office/2022/11/relationships/FeaturePropertyBag" Target="/xl/featurePropertyBag/featurePropertyBag.xml" Id="Rede84a8b495e41c3" /><Relationship Type="http://schemas.openxmlformats.org/officeDocument/2006/relationships/sharedStrings" Target="/xl/sharedStrings.xml" Id="R2783d85df9ba4978" /><Relationship Type="http://schemas.openxmlformats.org/officeDocument/2006/relationships/worksheet" Target="/xl/worksheets/sheet1.xml" Id="R2502da473a0d4381" /><Relationship Type="http://schemas.openxmlformats.org/officeDocument/2006/relationships/worksheet" Target="/xl/worksheets/sheet2.xml" Id="Rd8d39bf58e2f4e80" /><Relationship Type="http://schemas.openxmlformats.org/officeDocument/2006/relationships/worksheet" Target="/xl/worksheets/sheet3.xml" Id="Re88592fac6ff492c" /><Relationship Type="http://schemas.openxmlformats.org/officeDocument/2006/relationships/worksheet" Target="/xl/worksheets/sheet4.xml" Id="R68b706c4316442dc" /><Relationship Type="http://schemas.openxmlformats.org/officeDocument/2006/relationships/worksheet" Target="/xl/worksheets/sheet5.xml" Id="Re3c02a87c5364c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8" hidden="0" customWidth="1"/>
    <x:col min="6" max="6" width="18" hidden="0" customWidth="1"/>
  </x:cols>
  <x:sheetData>
    <x:row r="1" ht="15" hidden="0" customHeight="1">
      <x:c r="A1" s="40" t="str">
        <x:v>CHAN</x:v>
      </x:c>
      <x:c r="B1" s="41" t="n">
        <x:f>SUM(E2:F2)</x:f>
        <x:v>2</x:v>
      </x:c>
      <x:c r="C1" s="40"/>
      <x:c r="D1" s="47" t="s">
        <x:v>0</x:v>
      </x:c>
      <x:c r="E1" s="41" t="n">
        <x:v>1</x:v>
      </x:c>
      <x:c r="F1" s="41" t="n">
        <x:v>2</x:v>
      </x:c>
    </x:row>
    <x:row r="2" ht="15" hidden="0" customHeight="1">
      <x:c r="A2" s="35"/>
      <x:c r="B2" s="34"/>
      <x:c r="C2" s="33"/>
      <x:c r="D2" s="36" t="s">
        <x:v>1</x:v>
      </x:c>
      <x:c r="E2" s="32" t="n">
        <x:f>IF(E$1&gt;0,1,0)</x:f>
        <x:v>1</x:v>
      </x:c>
      <x:c r="F2" s="32" t="n">
        <x:f>IF(F$1&gt;0,1,0)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CHAN_1</x:v>
      </x:c>
      <x:c r="F3" s="41" t="str">
        <x:f>$A$1&amp;"_"&amp;F$1</x:f>
        <x:v>CHAN_2</x:v>
      </x:c>
    </x:row>
    <x:row r="4" ht="15" hidden="0" customHeight="1">
      <x:c r="A4" s="43" t="s">
        <x:v>2</x:v>
      </x:c>
      <x:c r="B4" s="44" t="s">
        <x:v>3</x:v>
      </x:c>
      <x:c r="C4" s="44" t="s">
        <x:v>4</x:v>
      </x:c>
      <x:c r="D4" s="48" t="s">
        <x:v>5</x:v>
      </x:c>
      <x:c r="E4" s="45" t="n">
        <x:v>0.000050265</x:v>
      </x:c>
      <x:c r="F4" s="45" t="n">
        <x:v>0.00036965</x:v>
      </x:c>
    </x:row>
    <x:row r="5" ht="15" hidden="0" customHeight="1">
      <x:c r="A5" s="43" t="s">
        <x:v>6</x:v>
      </x:c>
      <x:c r="B5" s="44" t="s">
        <x:v>7</x:v>
      </x:c>
      <x:c r="C5" s="44" t="s">
        <x:v>4</x:v>
      </x:c>
      <x:c r="D5" s="48" t="str">
        <x:v>x coordinate of the barycenter. Not used if flag ITYMSH = -1 in file conductor_grid.</x:v>
      </x:c>
      <x:c r="E5" s="45" t="n">
        <x:v>0</x:v>
      </x:c>
      <x:c r="F5" s="45" t="n">
        <x:v>0</x:v>
      </x:c>
    </x:row>
    <x:row r="6" ht="15" hidden="0" customHeight="1">
      <x:c r="A6" s="43" t="s">
        <x:v>8</x:v>
      </x:c>
      <x:c r="B6" s="44" t="s">
        <x:v>7</x:v>
      </x:c>
      <x:c r="C6" s="44" t="s">
        <x:v>4</x:v>
      </x:c>
      <x:c r="D6" s="48" t="str">
        <x:v>y coordinate of the barycenter. Not used if flag ITYMSH = -1 in file conductor_grid.</x:v>
      </x:c>
      <x:c r="E6" s="45" t="n">
        <x:v>0</x:v>
      </x:c>
      <x:c r="F6" s="45" t="n">
        <x:v>0</x:v>
      </x:c>
    </x:row>
    <x:row r="7" ht="15" hidden="0" customHeight="1">
      <x:c r="A7" s="43" t="s">
        <x:v>9</x:v>
      </x:c>
      <x:c r="B7" s="44" t="s">
        <x:v>10</x:v>
      </x:c>
      <x:c r="C7" s="44" t="s">
        <x:v>11</x:v>
      </x:c>
      <x:c r="D7" s="48" t="s">
        <x:v>12</x:v>
      </x:c>
      <x:c r="E7" s="44" t="str">
        <x:v>Helium</x:v>
      </x:c>
      <x:c r="F7" s="44" t="str">
        <x:v>Helium</x:v>
      </x:c>
    </x:row>
    <x:row r="8" ht="15" hidden="0" customHeight="1">
      <x:c r="A8" s="43" t="s">
        <x:v>13</x:v>
      </x:c>
      <x:c r="B8" s="44" t="s">
        <x:v>7</x:v>
      </x:c>
      <x:c r="C8" s="44" t="s">
        <x:v>4</x:v>
      </x:c>
      <x:c r="D8" s="48" t="s">
        <x:v>14</x:v>
      </x:c>
      <x:c r="E8" s="46" t="n">
        <x:v>0.008</x:v>
      </x:c>
      <x:c r="F8" s="46" t="n">
        <x:v>0.00032676</x:v>
      </x:c>
    </x:row>
    <x:row r="9" ht="15" hidden="0" customHeight="1">
      <x:c r="A9" s="43" t="s">
        <x:v>15</x:v>
      </x:c>
      <x:c r="B9" s="44" t="s">
        <x:v>7</x:v>
      </x:c>
      <x:c r="C9" s="44" t="s">
        <x:v>4</x:v>
      </x:c>
      <x:c r="D9" s="48" t="s">
        <x:v>16</x:v>
      </x:c>
      <x:c r="E9" s="46" t="n">
        <x:v>0</x:v>
      </x:c>
      <x:c r="F9" s="46" t="n">
        <x:v>0</x:v>
      </x:c>
    </x:row>
    <x:row r="10" ht="15" hidden="0" customHeight="1">
      <x:c r="A10" s="43" t="s">
        <x:v>17</x:v>
      </x:c>
      <x:c r="B10" s="44" t="s">
        <x:v>10</x:v>
      </x:c>
      <x:c r="C10" s="44" t="s">
        <x:v>4</x:v>
      </x:c>
      <x:c r="D10" s="48" t="s">
        <x:v>18</x:v>
      </x:c>
      <x:c r="E10" s="44" t="n">
        <x:v>1</x:v>
      </x:c>
      <x:c r="F10" s="44" t="n">
        <x:v>1</x:v>
      </x:c>
    </x:row>
    <x:row r="11" ht="15" hidden="0" customHeight="1">
      <x:c r="A11" s="43" t="s">
        <x:v>19</x:v>
      </x:c>
      <x:c r="B11" s="44" t="s">
        <x:v>10</x:v>
      </x:c>
      <x:c r="C11" s="44" t="s">
        <x:v>4</x:v>
      </x:c>
      <x:c r="D11" s="48" t="str">
        <x:v>VOID FRACTION OF THE CHANNEL = VOID AREA / TOTAL AREA OF THE CHANNEL</x:v>
      </x:c>
      <x:c r="E11" s="44" t="n">
        <x:v>1</x:v>
      </x:c>
      <x:c r="F11" s="44" t="n">
        <x:v>0.313</x:v>
      </x:c>
    </x:row>
    <x:row r="12" ht="15" hidden="0" customHeight="1">
      <x:c r="A12" s="43" t="s">
        <x:v>20</x:v>
      </x:c>
      <x:c r="B12" s="44" t="s">
        <x:v>10</x:v>
      </x:c>
      <x:c r="C12" s="44" t="s">
        <x:v>21</x:v>
      </x:c>
      <x:c r="D12" s="48" t="s">
        <x:v>22</x:v>
      </x:c>
      <x:c r="E12" s="44" t="n">
        <x:v>-99</x:v>
      </x:c>
      <x:c r="F12" s="44" t="n">
        <x:v>-99</x:v>
      </x:c>
    </x:row>
    <x:row r="13" ht="15" hidden="0" customHeight="1">
      <x:c r="A13" s="43" t="s">
        <x:v>23</x:v>
      </x:c>
      <x:c r="B13" s="44" t="s">
        <x:v>10</x:v>
      </x:c>
      <x:c r="C13" s="44" t="s">
        <x:v>4</x:v>
      </x:c>
      <x:c r="D13" s="48" t="s">
        <x:v>24</x:v>
      </x:c>
      <x:c r="E13" s="44" t="n">
        <x:v>0.02</x:v>
      </x:c>
      <x:c r="F13" s="44" t="n">
        <x:v>0.02</x:v>
      </x:c>
    </x:row>
    <x:row r="14" ht="15" hidden="0" customHeight="1">
      <x:c r="A14" s="43" t="s">
        <x:v>25</x:v>
      </x:c>
      <x:c r="B14" s="44" t="s">
        <x:v>10</x:v>
      </x:c>
      <x:c r="C14" s="44" t="s">
        <x:v>26</x:v>
      </x:c>
      <x:c r="D14" s="48"/>
      <x:c r="E14" s="63" t="b">
        <x:v>0</x:v>
      </x:c>
      <x:c r="F14" s="63" t="b">
        <x:v>0</x:v>
      </x:c>
    </x:row>
    <x:row r="15" ht="15" hidden="0" customHeight="1">
      <x:c r="A15" s="43" t="s">
        <x:v>27</x:v>
      </x:c>
      <x:c r="B15" s="44" t="s">
        <x:v>7</x:v>
      </x:c>
      <x:c r="C15" s="44" t="s">
        <x:v>4</x:v>
      </x:c>
      <x:c r="D15" s="48"/>
      <x:c r="E15" s="45" t="n">
        <x:v>0</x:v>
      </x:c>
      <x:c r="F15" s="44" t="n">
        <x:v>0</x:v>
      </x:c>
    </x:row>
    <x:row r="16" ht="15" hidden="0" customHeight="1">
      <x:c r="A16" s="43" t="s">
        <x:v>28</x:v>
      </x:c>
      <x:c r="B16" s="44" t="s">
        <x:v>7</x:v>
      </x:c>
      <x:c r="C16" s="44" t="s">
        <x:v>4</x:v>
      </x:c>
      <x:c r="D16" s="48"/>
      <x:c r="E16" s="45" t="n">
        <x:v>0</x:v>
      </x:c>
      <x:c r="F16" s="44" t="n">
        <x:v>0</x:v>
      </x:c>
    </x:row>
    <x:row r="17" ht="15" hidden="0" customHeight="1">
      <x:c r="A17" s="43" t="s">
        <x:v>29</x:v>
      </x:c>
      <x:c r="B17" s="44" t="s">
        <x:v>10</x:v>
      </x:c>
      <x:c r="C17" s="44" t="s">
        <x:v>11</x:v>
      </x:c>
      <x:c r="D17" s="48" t="s">
        <x:v>30</x:v>
      </x:c>
      <x:c r="E17" s="44" t="str">
        <x:v>hole</x:v>
      </x:c>
      <x:c r="F17" s="44" t="str">
        <x:v>bundle</x:v>
      </x:c>
    </x:row>
    <x:row r="18" ht="15" hidden="0" customHeight="1">
      <x:c r="A18" s="43" t="s">
        <x:v>31</x:v>
      </x:c>
      <x:c r="B18" s="44" t="s">
        <x:v>10</x:v>
      </x:c>
      <x:c r="C18" s="44" t="s">
        <x:v>21</x:v>
      </x:c>
      <x:c r="D18" s="48" t="s">
        <x:v>32</x:v>
      </x:c>
      <x:c r="E18" s="44" t="n">
        <x:v>1</x:v>
      </x:c>
      <x:c r="F18" s="44" t="n">
        <x:v>1</x:v>
      </x:c>
    </x:row>
    <x:row r="19" ht="24" hidden="0" customHeight="1">
      <x:c r="A19" s="43" t="s">
        <x:v>33</x:v>
      </x:c>
      <x:c r="B19" s="44" t="s">
        <x:v>10</x:v>
      </x:c>
      <x:c r="C19" s="44" t="s">
        <x:v>26</x:v>
      </x:c>
      <x:c r="D19" s="48" t="s">
        <x:v>34</x:v>
      </x:c>
      <x:c r="E19" s="63" t="b">
        <x:v>0</x:v>
      </x:c>
      <x:c r="F19" s="6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f>SUM(E2:E2)</x:f>
        <x:v>0</x:v>
      </x:c>
      <x:c r="C1" s="41"/>
      <x:c r="D1" s="47" t="s">
        <x:v>35</x:v>
      </x:c>
      <x:c r="E1" s="41" t="n">
        <x:v>0</x:v>
      </x:c>
    </x:row>
    <x:row r="2" ht="24" hidden="0" customHeight="1">
      <x:c r="A2" s="35"/>
      <x:c r="B2" s="34"/>
      <x:c r="C2" s="34"/>
      <x:c r="D2" s="36" t="s">
        <x:v>36</x:v>
      </x:c>
      <x:c r="E2" s="32" t="n">
        <x:f>IF(E$1&gt;0,1,0)</x:f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STACK_0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0.000001116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1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1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0.012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0.00004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0.000002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0.000001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0.00005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100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20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0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170360000000000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30.23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16.73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20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f>SUM(E2:E2)</x:f>
        <x:v>1</x:v>
      </x:c>
      <x:c r="C1" s="41"/>
      <x:c r="D1" s="47" t="s">
        <x:v>37</x:v>
      </x:c>
      <x:c r="E1" s="41" t="n">
        <x:v>1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f>IF(E$1&gt;0,1,0)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STR_MIX_1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 t="n">
        <x:v>0.000753951765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0.9699</x:v>
      </x:c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 t="n">
        <x:v>1</x:v>
      </x:c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58" t="n">
        <x:v>2.0846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 t="n">
        <x:v>2</x:v>
      </x:c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59" t="n">
        <x:v>900</x:v>
      </x:c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44" t="n">
        <x:v>0.000822</x:v>
      </x:c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45" t="n">
        <x:v>522</x:v>
      </x:c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45" t="n">
        <x:v>0.000821</x:v>
      </x:c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 t="str">
        <x:v>Cu</x:v>
      </x:c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44" t="n">
        <x:v>197.71</x:v>
      </x:c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 t="str">
        <x:v>Nb3Sn</x:v>
      </x:c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 t="n">
        <x:v>0</x:v>
      </x:c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 t="n">
        <x:v>121508000000</x:v>
      </x:c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 t="n">
        <x:v>32.35</x:v>
      </x:c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 t="n">
        <x:v>16.22</x:v>
      </x:c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43" t="n">
        <x:v>5</x:v>
      </x:c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 t="n">
        <x:v>0.00001</x:v>
      </x:c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5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f>SUM(E2:E2)</x:f>
        <x:v>0</x:v>
      </x:c>
      <x:c r="C1" s="41"/>
      <x:c r="D1" s="47" t="s">
        <x:v>38</x:v>
      </x:c>
      <x:c r="E1" s="41" t="n">
        <x:v>0</x:v>
      </x:c>
    </x:row>
    <x:row r="2" ht="24" hidden="0" customHeight="1">
      <x:c r="A2" s="35"/>
      <x:c r="B2" s="34"/>
      <x:c r="C2" s="34"/>
      <x:c r="D2" s="36" t="s">
        <x:v>39</x:v>
      </x:c>
      <x:c r="E2" s="32" t="n">
        <x:f>IF(E$1&gt;0,1,0)</x:f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STR_STAB_0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v>0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0.9699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cu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100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 </x:v>
      </x:c>
      <x:c r="E10" s="6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Z_JACKET</x:v>
      </x:c>
      <x:c r="B1" s="41" t="n">
        <x:f>SUM(E2:E2)</x:f>
        <x:v>1</x:v>
      </x:c>
      <x:c r="C1" s="41"/>
      <x:c r="D1" s="47" t="s">
        <x:v>40</x:v>
      </x:c>
      <x:c r="E1" s="41" t="n">
        <x:v>1</x:v>
      </x:c>
    </x:row>
    <x:row r="2" ht="15" hidden="0" customHeight="1">
      <x:c r="A2" s="35"/>
      <x:c r="B2" s="34"/>
      <x:c r="C2" s="34"/>
      <x:c r="D2" s="36" t="s">
        <x:v>41</x:v>
      </x:c>
      <x:c r="E2" s="32" t="n">
        <x:f>IF(E$1&gt;0,1,0)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Z_JACKET_1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v>0.00030699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0.00027966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v>0.1288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v>0.1357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 number of materials making up the jacket</x:v>
      </x:c>
      <x:c r="E10" s="58" t="n">
        <x:v>2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ss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ge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100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whole_enclosure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1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 </x:v>
      </x:c>
      <x:c r="E17" s="53" t="b">
        <x:v>0</x:v>
      </x:c>
    </x:row>
  </x:sheetData>
  <x:pageMargins left="0.7" right="0.7" top="0.75" bottom="0.75" header="0.3" footer="0.3"/>
</x:worksheet>
</file>