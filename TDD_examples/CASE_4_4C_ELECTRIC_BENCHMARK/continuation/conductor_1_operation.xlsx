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cd4a0533e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" sheetId="4" r:id="R53bed82071634046"/>
    <x:sheet xmlns:r="http://schemas.openxmlformats.org/officeDocument/2006/relationships" name="STACK" sheetId="5" r:id="R6c5af66901b84685"/>
    <x:sheet xmlns:r="http://schemas.openxmlformats.org/officeDocument/2006/relationships" name="STR_MIX" sheetId="3" r:id="R36e052f431294c9b"/>
    <x:sheet xmlns:r="http://schemas.openxmlformats.org/officeDocument/2006/relationships" name="STR_STAB" sheetId="6" r:id="Rf1f3fbc063984113"/>
    <x:sheet xmlns:r="http://schemas.openxmlformats.org/officeDocument/2006/relationships" name="Z_JACKET" sheetId="2" r:id="R6edb6f4041c7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sz val="1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wrapText="1"/>
    </x:xf>
    <x:xf numFmtId="0" fontId="0" fillId="0" borderId="0" xfId="0"/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0" fillId="0" borderId="0" xfId="0" applyAlignment="1">
      <x:alignment horizontal="center"/>
    </x:xf>
    <x:xf numFmtId="11" fontId="0" fillId="0" borderId="0" xfId="0" applyNumberFormat="1" applyAlignment="1">
      <x:alignment wrapText="1"/>
    </x:xf>
    <x:xf numFmtId="0" fontId="1" fillId="3" borderId="0" xfId="0" applyFont="1" applyFill="1" applyAlignment="1">
      <x:alignment horizontal="center" vertical="center"/>
    </x:xf>
    <x:xf numFmtId="0" fontId="1" fillId="3" borderId="0" xfId="0" applyFont="1" applyFill="1"/>
    <x:xf numFmtId="0" fontId="0" fillId="0" borderId="0" xfId="0" applyAlignment="1">
      <x:alignment vertical="center"/>
    </x:xf>
    <x:xf numFmtId="0" fontId="1" fillId="3" borderId="0" xfId="0" applyFont="1" applyFill="1" applyAlignment="1">
      <x:alignment horizontal="center"/>
    </x:xf>
    <x:xf numFmtId="0" fontId="1" fillId="3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0" fillId="2" borderId="0" xfId="0" applyFill="1" applyAlignment="1">
      <x:alignment vertical="center"/>
    </x:xf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center" wrapText="1"/>
    </x:xf>
    <x:xf numFmtId="0" fontId="0" fillId="0" borderId="0" xfId="0" applyAlignment="1">
      <x:alignment horizontal="left" vertical="center"/>
    </x:xf>
    <x:xf numFmtId="0" fontId="0" fillId="2" borderId="0" xfId="0" applyFill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1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/>
    </x:xf>
    <x:xf numFmtId="0" fontId="4" fillId="3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11" fontId="5" fillId="0" borderId="0" xfId="0" applyNumberFormat="1" applyFont="1" applyFill="1" applyBorder="1" applyAlignment="1">
      <x:alignment wrapText="1"/>
    </x:xf>
    <x:xf numFmtId="11" fontId="5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11" fontId="5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11" fontId="5" fillId="0" borderId="1" xfId="0" applyNumberFormat="1" applyFont="1" applyFill="1" applyBorder="1" applyAlignment="1">
      <x:alignment vertical="center" wrapText="1"/>
    </x:xf>
    <x:xf numFmtId="11" fontId="5" fillId="0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left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11" fontId="5" fillId="5" borderId="1" xfId="0" applyNumberFormat="1" applyFont="1" applyFill="1" applyBorder="1" applyAlignment="1">
      <x:alignment vertical="center" wrapText="1"/>
    </x:xf>
    <x:xf numFmtId="11" fontId="5" fillId="5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1e500d1e14bb7" /><Relationship Type="http://schemas.openxmlformats.org/officeDocument/2006/relationships/theme" Target="/xl/theme/theme1.xml" Id="R2b8a857592514e6e" /><Relationship Type="http://schemas.microsoft.com/office/2022/11/relationships/FeaturePropertyBag" Target="/xl/featurePropertyBag/featurePropertyBag.xml" Id="R29ad8458bf9a465a" /><Relationship Type="http://schemas.openxmlformats.org/officeDocument/2006/relationships/sharedStrings" Target="/xl/sharedStrings.xml" Id="R1210db98075642ec" /><Relationship Type="http://schemas.openxmlformats.org/officeDocument/2006/relationships/worksheet" Target="/xl/worksheets/sheet1.xml" Id="R53bed82071634046" /><Relationship Type="http://schemas.openxmlformats.org/officeDocument/2006/relationships/worksheet" Target="/xl/worksheets/sheet2.xml" Id="R6c5af66901b84685" /><Relationship Type="http://schemas.openxmlformats.org/officeDocument/2006/relationships/worksheet" Target="/xl/worksheets/sheet3.xml" Id="R36e052f431294c9b" /><Relationship Type="http://schemas.openxmlformats.org/officeDocument/2006/relationships/worksheet" Target="/xl/worksheets/sheet4.xml" Id="Rf1f3fbc063984113" /><Relationship Type="http://schemas.openxmlformats.org/officeDocument/2006/relationships/worksheet" Target="/xl/worksheets/sheet5.xml" Id="R6edb6f4041c744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5" hidden="0" customWidth="1"/>
    <x:col min="2" max="2" width="13" style="3" hidden="0" customWidth="1"/>
    <x:col min="3" max="3" width="14" style="11" hidden="0" customWidth="1"/>
    <x:col min="4" max="4" width="78" style="4" hidden="0" customWidth="1"/>
    <x:col min="5" max="6" width="17.54296875" style="3" customWidth="1"/>
    <x:col min="7" max="16384" width="8.81640625" style="5" customWidth="0"/>
    <x:col min="5" max="5" width="18" hidden="0" customWidth="1"/>
    <x:col min="6" max="6" width="18" hidden="0" customWidth="1"/>
  </x:cols>
  <x:sheetData>
    <x:row r="1" ht="14.5" hidden="0" customHeight="1">
      <x:c r="A1" s="56" t="str">
        <x:v>CHAN</x:v>
      </x:c>
      <x:c r="B1" s="56" t="n">
        <x:v>2</x:v>
      </x:c>
      <x:c r="C1" s="57"/>
      <x:c r="D1" s="59" t="str">
        <x:v>element of the type fluid</x:v>
      </x:c>
      <x:c r="E1" s="57" t="n">
        <x:v>1</x:v>
      </x:c>
      <x:c r="F1" s="57" t="n">
        <x:v>2</x:v>
      </x:c>
    </x:row>
    <x:row r="2" ht="14.5" hidden="0" customHeight="1">
      <x:c r="A2" s="50"/>
      <x:c r="B2" s="47"/>
      <x:c r="C2" s="47"/>
      <x:c r="D2" s="48" t="str">
        <x:v>row used to get the correct number of channel objects in cell B1 as the sum of values in this row starting from cell D2</x:v>
      </x:c>
      <x:c r="E2" s="49" t="n">
        <x:v>1</x:v>
      </x:c>
      <x:c r="F2" s="49" t="n">
        <x:f t="shared" ref="F2" si="0">IF(F$1&gt;0,1,0)</x:f>
        <x:v>1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CHAN_1</x:v>
      </x:c>
      <x:c r="F3" s="57" t="str">
        <x:f t="shared" ref="F3" si="1">$A$1&amp;"_"&amp;F$1</x:f>
        <x:v>CHAN_2</x:v>
      </x:c>
    </x:row>
    <x:row r="4" ht="36" hidden="0" customHeight="1">
      <x:c r="A4" s="60" t="str">
        <x:v>INTIAL</x:v>
      </x:c>
      <x:c r="B4" s="61" t="str">
        <x:v>-</x:v>
      </x:c>
      <x:c r="C4" s="61" t="str">
        <x:v>integer</x:v>
      </x:c>
      <x:c r="D4" s="62" t="str">
        <x:v>Flag used to define the initialization and hydraulic boundary conditions (&gt; 0: use the values below; &lt; 0: read values from the input files press.dat, temp.dat, and mdot.dat). 1 = inlet and outlet pressure, and inlet (outlet) temperature; 2 = inlet pressure and temperature, and outlet mass flow rate; 3 = inlet mass flow rate and temperature, and outlet pressure.</x:v>
      </x:c>
      <x:c r="E4" s="61" t="n">
        <x:v>1</x:v>
      </x:c>
      <x:c r="F4" s="61" t="n">
        <x:v>1</x:v>
      </x:c>
    </x:row>
    <x:row r="5" ht="14.5" hidden="0" customHeight="1">
      <x:c r="A5" s="63" t="str">
        <x:v>TEMINL</x:v>
      </x:c>
      <x:c r="B5" s="61" t="str">
        <x:v>K</x:v>
      </x:c>
      <x:c r="C5" s="61" t="str">
        <x:v>float</x:v>
      </x:c>
      <x:c r="D5" s="62" t="str">
        <x:v>inlet temperature</x:v>
      </x:c>
      <x:c r="E5" s="61" t="n">
        <x:v>4.5</x:v>
      </x:c>
      <x:c r="F5" s="61" t="n">
        <x:v>4.5</x:v>
      </x:c>
    </x:row>
    <x:row r="6" ht="14.5" hidden="0" customHeight="1">
      <x:c r="A6" s="63" t="str">
        <x:v>TEMOUT</x:v>
      </x:c>
      <x:c r="B6" s="61" t="str">
        <x:v>K</x:v>
      </x:c>
      <x:c r="C6" s="61" t="str">
        <x:v>float</x:v>
      </x:c>
      <x:c r="D6" s="62" t="str">
        <x:v>outlet temperature</x:v>
      </x:c>
      <x:c r="E6" s="61" t="n">
        <x:v>4.5</x:v>
      </x:c>
      <x:c r="F6" s="61" t="n">
        <x:v>4.5</x:v>
      </x:c>
    </x:row>
    <x:row r="7" ht="14.5" hidden="0" customHeight="1">
      <x:c r="A7" s="63" t="str">
        <x:v>PREINL</x:v>
      </x:c>
      <x:c r="B7" s="61" t="str">
        <x:v>Pa</x:v>
      </x:c>
      <x:c r="C7" s="61" t="str">
        <x:v>float</x:v>
      </x:c>
      <x:c r="D7" s="62" t="str">
        <x:v>inlet pressure</x:v>
      </x:c>
      <x:c r="E7" s="61" t="n">
        <x:v>600000</x:v>
      </x:c>
      <x:c r="F7" s="61" t="n">
        <x:v>600000</x:v>
      </x:c>
    </x:row>
    <x:row r="8" ht="14.5" hidden="0" customHeight="1">
      <x:c r="A8" s="63" t="str">
        <x:v>PREOUT</x:v>
      </x:c>
      <x:c r="B8" s="61" t="str">
        <x:v>Pa</x:v>
      </x:c>
      <x:c r="C8" s="61" t="str">
        <x:v>float</x:v>
      </x:c>
      <x:c r="D8" s="64" t="str">
        <x:v>outlet pressure</x:v>
      </x:c>
      <x:c r="E8" s="65" t="n">
        <x:v>500000</x:v>
      </x:c>
      <x:c r="F8" s="65" t="n">
        <x:v>500000</x:v>
      </x:c>
    </x:row>
    <x:row r="9" ht="14.5" hidden="0" customHeight="1">
      <x:c r="A9" s="63" t="str">
        <x:v>MDTIN</x:v>
      </x:c>
      <x:c r="B9" s="61" t="str">
        <x:v>kg/s</x:v>
      </x:c>
      <x:c r="C9" s="61" t="str">
        <x:v>float</x:v>
      </x:c>
      <x:c r="D9" s="64" t="str">
        <x:v>inlet mass flow rate </x:v>
      </x:c>
      <x:c r="E9" s="65" t="n">
        <x:v>0.0000206142238964</x:v>
      </x:c>
      <x:c r="F9" s="65" t="n">
        <x:v>0.00041912905527025</x:v>
      </x:c>
    </x:row>
    <x:row r="10" ht="14.5" hidden="0" customHeight="1">
      <x:c r="A10" s="63" t="str">
        <x:v>MDTOUT</x:v>
      </x:c>
      <x:c r="B10" s="61" t="str">
        <x:v>kg/s</x:v>
      </x:c>
      <x:c r="C10" s="61" t="str">
        <x:v>float</x:v>
      </x:c>
      <x:c r="D10" s="64" t="str">
        <x:v>outlet mass flow rate </x:v>
      </x:c>
      <x:c r="E10" s="65" t="n">
        <x:v>0.0000206142238964</x:v>
      </x:c>
      <x:c r="F10" s="65" t="n">
        <x:v>0.00041912905527025</x:v>
      </x:c>
    </x:row>
    <x:row r="11" ht="36" hidden="0" customHeight="1">
      <x:c r="A11" s="63" t="str">
        <x:v>FLOWDIR</x:v>
      </x:c>
      <x:c r="B11" s="61" t="str">
        <x:v>-</x:v>
      </x:c>
      <x:c r="C11" s="61" t="str">
        <x:v>string</x:v>
      </x:c>
      <x:c r="D11" s="62" t="str">
        <x:v>Flag used to define the flow direction. Possible values: forward, Forward, or FORWARD (inlet at x = 0 and outlet at x = L); backward, Backward, or BACKWARD (inlet at x = L and outlet at x = 0). Defaults to forward. Channels in hydraulic parallel must all have the same flow direction.</x:v>
      </x:c>
      <x:c r="E11" s="61" t="str">
        <x:v>forward</x:v>
      </x:c>
      <x:c r="F11" s="61" t="str">
        <x:v>forward</x:v>
      </x:c>
    </x:row>
    <x:row r="12">
      <x:c r="A12" s="5"/>
      <x:c r="B12" s="3"/>
      <x:c r="C12" s="11"/>
      <x:c r="D12" s="4"/>
      <x:c r="E12" s="3"/>
      <x:c r="F12" s="25"/>
    </x:row>
    <x:row r="13" ht="72.5">
      <x:c r="A13" s="15"/>
      <x:c r="B13" s="3"/>
      <x:c r="C13" s="3"/>
      <x:c r="D13" s="20"/>
      <x:c r="E13" s="3"/>
      <x:c r="F13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20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STACK</x:v>
      </x:c>
      <x:c r="B1" s="56" t="n">
        <x:v>1</x:v>
      </x:c>
      <x:c r="C1" s="57"/>
      <x:c r="D1" s="59" t="str">
        <x:v>element of the type "SC strands"</x:v>
      </x:c>
      <x:c r="E1" s="57" t="n">
        <x:v>1</x:v>
      </x:c>
    </x:row>
    <x:row r="2" ht="24" hidden="0" customHeight="1">
      <x:c r="A2" s="50"/>
      <x:c r="B2" s="47"/>
      <x:c r="C2" s="47"/>
      <x:c r="D2" s="48" t="str">
        <x:v>row used to get the correct number of superconductor strand objects in cell B1 as the sum of values in this row starting from cell D2</x:v>
      </x:c>
      <x:c r="E2" s="49" t="n">
        <x:v>1</x:v>
      </x:c>
    </x:row>
    <x:row r="3" s="3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STACK_1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-1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1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1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17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17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14.5" hidden="0" customHeight="1">
      <x:c r="A17" s="63" t="str">
        <x:v>IEPS</x:v>
      </x:c>
      <x:c r="B17" s="61" t="str">
        <x:v>-</x:v>
      </x:c>
      <x:c r="C17" s="61" t="str">
        <x:v>integer</x:v>
      </x:c>
      <x:c r="D17" s="62" t="str">
        <x:v>Strain definition: 0 = no strain; 1 = constant EPS; -1 = read the external strain profile using EPS_INTERPOLATION.</x:v>
      </x:c>
      <x:c r="E17" s="61" t="n">
        <x:v>0</x:v>
      </x:c>
    </x:row>
    <x:row r="18" ht="14.5" hidden="0" customHeight="1">
      <x:c r="A18" s="63" t="str">
        <x:v>EPS_INTERPOLATION</x:v>
      </x:c>
      <x:c r="B18" s="61" t="str">
        <x:v>-</x:v>
      </x:c>
      <x:c r="C18" s="61" t="str">
        <x:v>string</x:v>
      </x:c>
      <x:c r="D18" s="62" t="str">
        <x:v>Interpolation for an external strain profile when IEPS = -1. Supported values: linear, cubic.</x:v>
      </x:c>
      <x:c r="E18" s="61" t="str">
        <x:v>linear</x:v>
      </x:c>
    </x:row>
    <x:row r="19" ht="14.5" hidden="0" customHeight="1">
      <x:c r="A19" s="63" t="str">
        <x:v>EPS</x:v>
      </x:c>
      <x:c r="B19" s="61" t="str">
        <x:v>-</x:v>
      </x:c>
      <x:c r="C19" s="61" t="str">
        <x:v>float</x:v>
      </x:c>
      <x:c r="D19" s="62" t="str">
        <x:v>value of the strain along the strand if IEPS = 1</x:v>
      </x:c>
      <x:c r="E19" s="61" t="n">
        <x:v>0</x:v>
      </x:c>
    </x:row>
    <x:row r="20" ht="24" hidden="0" customHeight="1">
      <x:c r="A20" s="63" t="str">
        <x:v>IQFUN</x:v>
      </x:c>
      <x:c r="B20" s="61" t="str">
        <x:v>-</x:v>
      </x:c>
      <x:c r="C20" s="61" t="str">
        <x:v>integer</x:v>
      </x:c>
      <x:c r="D20" s="62" t="str">
        <x:v>flag for the heating along the strand: 0 = no heating; 1 = square wave in time and space, with values from below; -1 = values from auxiliary file</x:v>
      </x:c>
      <x:c r="E20" s="78" t="n">
        <x:v>1</x:v>
      </x:c>
    </x:row>
    <x:row r="21" ht="24" hidden="0" customHeight="1">
      <x:c r="A21" s="63" t="str">
        <x:v>Q_INTERPOLATION</x:v>
      </x:c>
      <x:c r="B21" s="61" t="str">
        <x:v>-</x:v>
      </x:c>
      <x:c r="C21" s="61" t="str">
        <x:v>string</x:v>
      </x:c>
      <x:c r="D21" s="62" t="str">
        <x:v>Flag used to specify the interpolation method for the heat data when IQFUN = -1. Possible values: linear = linear interpolation; cubic = third-order spline interpolation.</x:v>
      </x:c>
      <x:c r="E21" s="61" t="str">
        <x:v>linear</x:v>
      </x:c>
    </x:row>
    <x:row r="22" ht="14.5" hidden="0" customHeight="1">
      <x:c r="A22" s="63" t="str">
        <x:v>XQBEG</x:v>
      </x:c>
      <x:c r="B22" s="61" t="str">
        <x:v>m</x:v>
      </x:c>
      <x:c r="C22" s="61" t="str">
        <x:v>float</x:v>
      </x:c>
      <x:c r="D22" s="62" t="str">
        <x:v>starting point of the heated zone</x:v>
      </x:c>
      <x:c r="E22" s="65" t="n">
        <x:v>65.95</x:v>
      </x:c>
    </x:row>
    <x:row r="23" ht="14.5" hidden="0" customHeight="1">
      <x:c r="A23" s="63" t="str">
        <x:v>XQEND</x:v>
      </x:c>
      <x:c r="B23" s="61" t="str">
        <x:v>m</x:v>
      </x:c>
      <x:c r="C23" s="61" t="str">
        <x:v>float</x:v>
      </x:c>
      <x:c r="D23" s="62" t="str">
        <x:v>end point of the heated zone</x:v>
      </x:c>
      <x:c r="E23" s="61" t="n">
        <x:v>66.05</x:v>
      </x:c>
    </x:row>
    <x:row r="24" ht="14.5" hidden="0" customHeight="1">
      <x:c r="A24" s="63" t="str">
        <x:v>Q0</x:v>
      </x:c>
      <x:c r="B24" s="61" t="str">
        <x:v>W/m</x:v>
      </x:c>
      <x:c r="C24" s="61" t="str">
        <x:v>float</x:v>
      </x:c>
      <x:c r="D24" s="62" t="str">
        <x:v>power density in each strand</x:v>
      </x:c>
      <x:c r="E24" s="61" t="n">
        <x:v>1250</x:v>
      </x:c>
    </x:row>
    <x:row r="25" ht="24" hidden="0" customHeight="1">
      <x:c r="A25" s="63" t="str">
        <x:v>TQBEG</x:v>
      </x:c>
      <x:c r="B25" s="61" t="str">
        <x:v>s</x:v>
      </x:c>
      <x:c r="C25" s="61" t="str">
        <x:v>float</x:v>
      </x:c>
      <x:c r="D25" s="62" t="str">
        <x:v>Heating start time. Specify this time even when the heat is read from an external file (IQFUN = -1); it is required for the correct evaluation of the HTC between the fluid and the solid.</x:v>
      </x:c>
      <x:c r="E25" s="61" t="n">
        <x:v>610.01</x:v>
      </x:c>
    </x:row>
    <x:row r="26" ht="14.5" hidden="0" customHeight="1">
      <x:c r="A26" s="63" t="str">
        <x:v>TQEND</x:v>
      </x:c>
      <x:c r="B26" s="61" t="str">
        <x:v>s</x:v>
      </x:c>
      <x:c r="C26" s="61" t="str">
        <x:v>float</x:v>
      </x:c>
      <x:c r="D26" s="62" t="str">
        <x:v>heating end time.</x:v>
      </x:c>
      <x:c r="E26" s="61" t="n">
        <x:v>610.11</x:v>
      </x:c>
    </x:row>
    <x:row r="27" ht="36" hidden="0" customHeight="1">
      <x:c r="A27" s="63" t="str">
        <x:v>INTIAL</x:v>
      </x:c>
      <x:c r="B27" s="61" t="str">
        <x:v>-</x:v>
      </x:c>
      <x:c r="C27" s="61" t="str">
        <x:v>integer</x:v>
      </x:c>
      <x:c r="D27" s="62" t="str">
        <x:v>flag to define how to initialize STACK temperature initial spatial distribution: 0 = initialization with channel temperature (only if there is thermal contact from CHAN and STACK); 1 = linear spatial distribution with data from below; -1 data from external file</x:v>
      </x:c>
      <x:c r="E27" s="61" t="n">
        <x:v>1</x:v>
      </x:c>
    </x:row>
    <x:row r="28" ht="14.5" hidden="0" customHeight="1">
      <x:c r="A28" s="63" t="str">
        <x:v>TEMINL</x:v>
      </x:c>
      <x:c r="B28" s="61" t="str">
        <x:v>K</x:v>
      </x:c>
      <x:c r="C28" s="61" t="str">
        <x:v>float</x:v>
      </x:c>
      <x:c r="D28" s="62" t="str">
        <x:v>Inlet STACK temperature</x:v>
      </x:c>
      <x:c r="E28" s="61" t="n">
        <x:v>4.5</x:v>
      </x:c>
    </x:row>
    <x:row r="29" ht="14.5" hidden="0" customHeight="1">
      <x:c r="A29" s="63" t="str">
        <x:v>TEMOUT</x:v>
      </x:c>
      <x:c r="B29" s="61" t="str">
        <x:v>K</x:v>
      </x:c>
      <x:c r="C29" s="61" t="str">
        <x:v>float</x:v>
      </x:c>
      <x:c r="D29" s="62" t="str">
        <x:v>Outlet STACK temperature</x:v>
      </x:c>
      <x:c r="E29" s="61" t="n">
        <x:v>4.5</x:v>
      </x:c>
    </x:row>
    <x:row r="30" ht="48" hidden="0" customHeight="1">
      <x:c r="A30" s="63" t="str">
        <x:v>TCS_EVALUATION</x:v>
      </x:c>
      <x:c r="B30" s="61" t="str">
        <x:v>-</x:v>
      </x:c>
      <x:c r="C30" s="61" t="str">
        <x:v>bool</x:v>
      </x:c>
      <x:c r="D30" s="62" t="str">
        <x:v>Flag used to determine whether the current-sharing temperature is evaluated at every time step. Possible values: False = evaluate it only during initialization and at the end of the simulation; True = evaluate it at every time step (increases computation time). Defaults to False.</x:v>
      </x:c>
      <x:c r="E30" s="79" t="b">
        <x:v>1</x:v>
      </x:c>
    </x:row>
    <x:row r="31" ht="58">
      <x:c r="A31" s="15"/>
      <x:c r="B31" s="3"/>
      <x:c r="C31" s="3"/>
      <x:c r="D31" s="20"/>
      <x:c r="E31" s="3"/>
    </x:row>
    <x:row r="32">
      <x:c r="A32" s="15"/>
      <x:c r="B32" s="3"/>
      <x:c r="C32" s="3"/>
      <x:c r="D32" s="20"/>
      <x:c r="E32" s="3"/>
    </x:row>
    <x:row r="33">
      <x:c r="A33" s="15"/>
      <x:c r="B33" s="3"/>
      <x:c r="C33" s="3"/>
      <x:c r="D33" s="20"/>
      <x:c r="E33" s="3"/>
    </x:row>
    <x:row r="34" ht="72.5">
      <x:c r="A34" s="15"/>
      <x:c r="B34" s="3"/>
      <x:c r="C34" s="3"/>
      <x:c r="D34" s="20"/>
      <x:c r="E34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20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STR_MIX</x:v>
      </x:c>
      <x:c r="B1" s="56" t="n">
        <x:v>0</x:v>
      </x:c>
      <x:c r="C1" s="57"/>
      <x:c r="D1" s="59" t="str">
        <x:v>element of the type "SC+Cu strands"</x:v>
      </x:c>
      <x:c r="E1" s="57" t="n">
        <x:v>0</x:v>
      </x:c>
    </x:row>
    <x:row r="2" ht="24" hidden="0" customHeight="1">
      <x:c r="A2" s="50"/>
      <x:c r="B2" s="47"/>
      <x:c r="C2" s="47"/>
      <x:c r="D2" s="48" t="str">
        <x:v>row used to get the correct number of mixed copper-superconductor strand objects in cell B1 as the sum of values in this row starting from cell D2</x:v>
      </x:c>
      <x:c r="E2" s="49" t="n">
        <x:v>0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STR_MIX_0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17.1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17.1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14.5" hidden="0" customHeight="1">
      <x:c r="A17" s="63" t="str">
        <x:v>IEPS</x:v>
      </x:c>
      <x:c r="B17" s="61" t="str">
        <x:v>-</x:v>
      </x:c>
      <x:c r="C17" s="61" t="str">
        <x:v>integer</x:v>
      </x:c>
      <x:c r="D17" s="62" t="str">
        <x:v>Strain definition: 0 = no strain; 1 = constant EPS; -1 = read the external strain profile using EPS_INTERPOLATION.</x:v>
      </x:c>
      <x:c r="E17" s="61" t="n">
        <x:v>0</x:v>
      </x:c>
    </x:row>
    <x:row r="18" ht="14.5" hidden="0" customHeight="1">
      <x:c r="A18" s="63" t="str">
        <x:v>EPS_INTERPOLATION</x:v>
      </x:c>
      <x:c r="B18" s="61" t="str">
        <x:v>-</x:v>
      </x:c>
      <x:c r="C18" s="61" t="str">
        <x:v>string</x:v>
      </x:c>
      <x:c r="D18" s="62" t="str">
        <x:v>Interpolation for an external strain profile when IEPS = -1. Supported values: linear, cubic.</x:v>
      </x:c>
      <x:c r="E18" s="61" t="str">
        <x:v>linear</x:v>
      </x:c>
    </x:row>
    <x:row r="19" ht="14.5" hidden="0" customHeight="1">
      <x:c r="A19" s="63" t="str">
        <x:v>EPS</x:v>
      </x:c>
      <x:c r="B19" s="61" t="str">
        <x:v>-</x:v>
      </x:c>
      <x:c r="C19" s="61" t="str">
        <x:v>float</x:v>
      </x:c>
      <x:c r="D19" s="62" t="str">
        <x:v>value of the strain along the strand if IEPS = 1</x:v>
      </x:c>
      <x:c r="E19" s="61" t="n">
        <x:v>0</x:v>
      </x:c>
    </x:row>
    <x:row r="20" ht="24" hidden="0" customHeight="1">
      <x:c r="A20" s="63" t="str">
        <x:v>IQFUN</x:v>
      </x:c>
      <x:c r="B20" s="61" t="str">
        <x:v>-</x:v>
      </x:c>
      <x:c r="C20" s="61" t="str">
        <x:v>integer</x:v>
      </x:c>
      <x:c r="D20" s="62" t="str">
        <x:v>flag for the heating along the strand: 0 = no heating; 1 = square wave in time and space, with values from below; -1 = values from auxiliary file</x:v>
      </x:c>
      <x:c r="E20" s="78" t="n">
        <x:v>1</x:v>
      </x:c>
    </x:row>
    <x:row r="21" ht="24" hidden="0" customHeight="1">
      <x:c r="A21" s="63" t="str">
        <x:v>Q_INTERPOLATION</x:v>
      </x:c>
      <x:c r="B21" s="61" t="str">
        <x:v>-</x:v>
      </x:c>
      <x:c r="C21" s="61" t="str">
        <x:v>string</x:v>
      </x:c>
      <x:c r="D21" s="62" t="str">
        <x:v>Flag used to specify the interpolation method for the heat data when IQFUN = -1. Possible values: linear = linear interpolation; cubic = third-order spline interpolation.</x:v>
      </x:c>
      <x:c r="E21" s="61" t="str">
        <x:v>linear</x:v>
      </x:c>
    </x:row>
    <x:row r="22" ht="14.5" hidden="0" customHeight="1">
      <x:c r="A22" s="63" t="str">
        <x:v>XQBEG</x:v>
      </x:c>
      <x:c r="B22" s="61" t="str">
        <x:v>m</x:v>
      </x:c>
      <x:c r="C22" s="61" t="str">
        <x:v>float</x:v>
      </x:c>
      <x:c r="D22" s="62" t="str">
        <x:v>starting point of the heated zone</x:v>
      </x:c>
      <x:c r="E22" s="65" t="n">
        <x:v>65.95</x:v>
      </x:c>
    </x:row>
    <x:row r="23" ht="14.5" hidden="0" customHeight="1">
      <x:c r="A23" s="63" t="str">
        <x:v>XQEND</x:v>
      </x:c>
      <x:c r="B23" s="61" t="str">
        <x:v>m</x:v>
      </x:c>
      <x:c r="C23" s="61" t="str">
        <x:v>float</x:v>
      </x:c>
      <x:c r="D23" s="62" t="str">
        <x:v>end point of the heated zone</x:v>
      </x:c>
      <x:c r="E23" s="61" t="n">
        <x:v>66.05</x:v>
      </x:c>
    </x:row>
    <x:row r="24" ht="14.5" hidden="0" customHeight="1">
      <x:c r="A24" s="63" t="str">
        <x:v>Q0</x:v>
      </x:c>
      <x:c r="B24" s="61" t="str">
        <x:v>W/m</x:v>
      </x:c>
      <x:c r="C24" s="61" t="str">
        <x:v>float</x:v>
      </x:c>
      <x:c r="D24" s="62" t="str">
        <x:v>power density in each strand</x:v>
      </x:c>
      <x:c r="E24" s="61" t="n">
        <x:v>1250</x:v>
      </x:c>
    </x:row>
    <x:row r="25" ht="24" hidden="0" customHeight="1">
      <x:c r="A25" s="63" t="str">
        <x:v>TQBEG</x:v>
      </x:c>
      <x:c r="B25" s="61" t="str">
        <x:v>s</x:v>
      </x:c>
      <x:c r="C25" s="61" t="str">
        <x:v>float</x:v>
      </x:c>
      <x:c r="D25" s="62" t="str">
        <x:v>Heating start time. Specify this time even when the heat is read from an external file (IQFUN = -1); it is required for the correct evaluation of the HTC between the fluid and the solid.</x:v>
      </x:c>
      <x:c r="E25" s="61" t="n">
        <x:v>610.01</x:v>
      </x:c>
    </x:row>
    <x:row r="26" ht="14.5" hidden="0" customHeight="1">
      <x:c r="A26" s="63" t="str">
        <x:v>TQEND</x:v>
      </x:c>
      <x:c r="B26" s="61" t="str">
        <x:v>s</x:v>
      </x:c>
      <x:c r="C26" s="61" t="str">
        <x:v>float</x:v>
      </x:c>
      <x:c r="D26" s="62" t="str">
        <x:v>heating end time</x:v>
      </x:c>
      <x:c r="E26" s="61" t="n">
        <x:v>610.11</x:v>
      </x:c>
    </x:row>
    <x:row r="27" ht="36" hidden="0" customHeight="1">
      <x:c r="A27" s="63" t="str">
        <x:v>INTIAL</x:v>
      </x:c>
      <x:c r="B27" s="61" t="str">
        <x:v>-</x:v>
      </x:c>
      <x:c r="C27" s="61" t="str">
        <x:v>integer</x:v>
      </x:c>
      <x:c r="D27" s="62" t="str">
        <x:v>flag to define how to initialize STR_MIX temperature initial spatial distribution: 0 = initialization with channel temperature (only if there is thermal contact from CHAN and STR_MIX); 1 = linear spatial distribution with data from below; -1 data from external file</x:v>
      </x:c>
      <x:c r="E27" s="61" t="n">
        <x:v>1</x:v>
      </x:c>
    </x:row>
    <x:row r="28" ht="14.5" hidden="0" customHeight="1">
      <x:c r="A28" s="63" t="str">
        <x:v>TEMINL</x:v>
      </x:c>
      <x:c r="B28" s="61" t="str">
        <x:v>K</x:v>
      </x:c>
      <x:c r="C28" s="61" t="str">
        <x:v>float</x:v>
      </x:c>
      <x:c r="D28" s="62" t="str">
        <x:v>Inlet STR_MIX temperature</x:v>
      </x:c>
      <x:c r="E28" s="61" t="n">
        <x:v>4.5</x:v>
      </x:c>
    </x:row>
    <x:row r="29" ht="14.5" hidden="0" customHeight="1">
      <x:c r="A29" s="63" t="str">
        <x:v>TEMOUT</x:v>
      </x:c>
      <x:c r="B29" s="61" t="str">
        <x:v>K</x:v>
      </x:c>
      <x:c r="C29" s="61" t="str">
        <x:v>float</x:v>
      </x:c>
      <x:c r="D29" s="62" t="str">
        <x:v>Outlet STR_MIX temperature</x:v>
      </x:c>
      <x:c r="E29" s="61" t="n">
        <x:v>4.5</x:v>
      </x:c>
    </x:row>
    <x:row r="30" ht="48" hidden="0" customHeight="1">
      <x:c r="A30" s="63" t="str">
        <x:v>TCS_EVALUATION</x:v>
      </x:c>
      <x:c r="B30" s="61" t="str">
        <x:v>-</x:v>
      </x:c>
      <x:c r="C30" s="61" t="str">
        <x:v>bool</x:v>
      </x:c>
      <x:c r="D30" s="62" t="str">
        <x:v>Flag used to determine whether the current-sharing temperature is evaluated at every time step. Possible values: False = evaluate it only during initialization and at the end of the simulation; True = evaluate it at every time step (increases computation time). Defaults to False.</x:v>
      </x:c>
      <x:c r="E30" s="79" t="b">
        <x:v>1</x:v>
      </x:c>
    </x:row>
    <x:row r="31" ht="58">
      <x:c r="A31" s="15"/>
      <x:c r="B31" s="3"/>
      <x:c r="C31" s="3"/>
      <x:c r="D31" s="20"/>
      <x:c r="E31" s="3"/>
    </x:row>
    <x:row r="32">
      <x:c r="A32" s="15"/>
      <x:c r="B32" s="3"/>
      <x:c r="C32" s="3"/>
      <x:c r="D32" s="20"/>
      <x:c r="E32" s="3"/>
    </x:row>
    <x:row r="33">
      <x:c r="A33" s="15"/>
      <x:c r="B33" s="3"/>
      <x:c r="C33" s="3"/>
      <x:c r="D33" s="20"/>
      <x:c r="E33" s="3"/>
    </x:row>
    <x:row r="34" ht="72.5">
      <x:c r="A34" s="15"/>
      <x:c r="B34" s="3"/>
      <x:c r="C34" s="3"/>
      <x:c r="D34" s="20"/>
      <x:c r="E34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4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STR_STAB</x:v>
      </x:c>
      <x:c r="B1" s="56" t="n">
        <x:v>3</x:v>
      </x:c>
      <x:c r="C1" s="57"/>
      <x:c r="D1" s="59" t="str">
        <x:v>element of the type "Cu strands"</x:v>
      </x:c>
      <x:c r="E1" s="57" t="n">
        <x:v>1</x:v>
      </x:c>
      <x:c r="F1" s="49" t="n">
        <x:v>2</x:v>
      </x:c>
      <x:c r="G1" s="49" t="n">
        <x:v>3</x:v>
      </x:c>
    </x:row>
    <x:row r="2" ht="24" hidden="0" customHeight="1">
      <x:c r="A2" s="50"/>
      <x:c r="B2" s="47"/>
      <x:c r="C2" s="47"/>
      <x:c r="D2" s="48" t="str">
        <x:v>row used to get the correct number of copper strand objects in cell B1 as the sum of values in this row starting from cell D2</x:v>
      </x:c>
      <x:c r="E2" s="49" t="n">
        <x:v>1</x:v>
      </x:c>
      <x:c r="F2" s="49" t="n">
        <x:v>1</x:v>
      </x:c>
      <x:c r="G2" s="49" t="n">
        <x:v>1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STR_STAB_1</x:v>
      </x:c>
      <x:c r="F3" s="49" t="str">
        <x:v>STR_STAB_2</x:v>
      </x:c>
      <x:c r="G3" s="49" t="str">
        <x:v>STR_STAB_3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-1</x:v>
      </x:c>
      <x:c r="F4" s="61" t="n">
        <x:v>-1</x:v>
      </x:c>
      <x:c r="G4" s="61" t="n">
        <x:v>-1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  <x:c r="F5" s="61" t="str">
        <x:v>linear</x:v>
      </x:c>
      <x:c r="G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1</x:v>
      </x:c>
      <x:c r="F6" s="78" t="n">
        <x:v>1</x:v>
      </x:c>
      <x:c r="G6" s="78" t="n">
        <x:v>1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1</x:v>
      </x:c>
      <x:c r="F7" s="61" t="n">
        <x:v>1</x:v>
      </x:c>
      <x:c r="G7" s="61" t="n">
        <x:v>1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  <x:c r="F8" s="61" t="n">
        <x:v>0</x:v>
      </x:c>
      <x:c r="G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  <x:c r="F9" s="61" t="n">
        <x:v>0</x:v>
      </x:c>
      <x:c r="G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  <x:c r="F10" s="78" t="n">
        <x:v>0</x:v>
      </x:c>
      <x:c r="G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  <x:c r="F11" s="61" t="str">
        <x:v>linear</x:v>
      </x:c>
      <x:c r="G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  <x:c r="F12" s="78" t="str">
        <x:v>T</x:v>
      </x:c>
      <x:c r="G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17</x:v>
      </x:c>
      <x:c r="F13" s="61" t="n">
        <x:v>17</x:v>
      </x:c>
      <x:c r="G13" s="61" t="n">
        <x:v>17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17</x:v>
      </x:c>
      <x:c r="F14" s="61" t="n">
        <x:v>17</x:v>
      </x:c>
      <x:c r="G14" s="61" t="n">
        <x:v>17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  <x:c r="F15" s="61" t="n">
        <x:v>0</x:v>
      </x:c>
      <x:c r="G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  <x:c r="F16" s="61" t="str">
        <x:v>linear</x:v>
      </x:c>
      <x:c r="G16" s="61" t="str">
        <x:v>linear</x:v>
      </x:c>
    </x:row>
    <x:row r="17" ht="24" hidden="0" customHeight="1">
      <x:c r="A17" s="63" t="str">
        <x:v>IQFUN</x:v>
      </x:c>
      <x:c r="B17" s="61" t="str">
        <x:v>-</x:v>
      </x:c>
      <x:c r="C17" s="61" t="str">
        <x:v>integer</x:v>
      </x:c>
      <x:c r="D17" s="62" t="str">
        <x:v>flag for the heating along the strand: 0 = no heating; 1 = square wave in time and space, with values from below; -1 = values from auxiliary file</x:v>
      </x:c>
      <x:c r="E17" s="61" t="n">
        <x:v>0</x:v>
      </x:c>
      <x:c r="F17" s="61" t="n">
        <x:v>0</x:v>
      </x:c>
      <x:c r="G17" s="61" t="n">
        <x:v>0</x:v>
      </x:c>
    </x:row>
    <x:row r="18" ht="24" hidden="0" customHeight="1">
      <x:c r="A18" s="63" t="str">
        <x:v>Q_INTERPOLATION</x:v>
      </x:c>
      <x:c r="B18" s="61" t="str">
        <x:v>-</x:v>
      </x:c>
      <x:c r="C18" s="61" t="str">
        <x:v>string</x:v>
      </x:c>
      <x:c r="D18" s="62" t="str">
        <x:v>Flag used to specify the interpolation method for the heat data when IQFUN = -1. Possible values: linear = linear interpolation; cubic = third-order spline interpolation.</x:v>
      </x:c>
      <x:c r="E18" s="61" t="str">
        <x:v>linear</x:v>
      </x:c>
      <x:c r="F18" s="61" t="str">
        <x:v>linear</x:v>
      </x:c>
      <x:c r="G18" s="61" t="str">
        <x:v>linear</x:v>
      </x:c>
    </x:row>
    <x:row r="19" ht="14.5" hidden="0" customHeight="1">
      <x:c r="A19" s="63" t="str">
        <x:v>XQBEG</x:v>
      </x:c>
      <x:c r="B19" s="61" t="str">
        <x:v>m</x:v>
      </x:c>
      <x:c r="C19" s="61" t="str">
        <x:v>float</x:v>
      </x:c>
      <x:c r="D19" s="62" t="str">
        <x:v>starting point of the heated zone</x:v>
      </x:c>
      <x:c r="E19" s="61" t="n">
        <x:v>0</x:v>
      </x:c>
      <x:c r="F19" s="61" t="n">
        <x:v>0</x:v>
      </x:c>
      <x:c r="G19" s="61" t="n">
        <x:v>0</x:v>
      </x:c>
    </x:row>
    <x:row r="20" ht="14.5" hidden="0" customHeight="1">
      <x:c r="A20" s="63" t="str">
        <x:v>XQEND</x:v>
      </x:c>
      <x:c r="B20" s="61" t="str">
        <x:v>m</x:v>
      </x:c>
      <x:c r="C20" s="61" t="str">
        <x:v>float</x:v>
      </x:c>
      <x:c r="D20" s="62" t="str">
        <x:v>end point of the heated zone</x:v>
      </x:c>
      <x:c r="E20" s="61" t="n">
        <x:v>0</x:v>
      </x:c>
      <x:c r="F20" s="61" t="n">
        <x:v>0</x:v>
      </x:c>
      <x:c r="G20" s="61" t="n">
        <x:v>0</x:v>
      </x:c>
    </x:row>
    <x:row r="21" ht="14.5" hidden="0" customHeight="1">
      <x:c r="A21" s="63" t="str">
        <x:v>Q0</x:v>
      </x:c>
      <x:c r="B21" s="61" t="str">
        <x:v>W/m</x:v>
      </x:c>
      <x:c r="C21" s="61" t="str">
        <x:v>float</x:v>
      </x:c>
      <x:c r="D21" s="62" t="str">
        <x:v>power density in each strand</x:v>
      </x:c>
      <x:c r="E21" s="61" t="n">
        <x:v>0</x:v>
      </x:c>
      <x:c r="F21" s="61" t="n">
        <x:v>0</x:v>
      </x:c>
      <x:c r="G21" s="61" t="n">
        <x:v>0</x:v>
      </x:c>
    </x:row>
    <x:row r="22" ht="24" hidden="0" customHeight="1">
      <x:c r="A22" s="63" t="str">
        <x:v>TQBEG</x:v>
      </x:c>
      <x:c r="B22" s="61" t="str">
        <x:v>s</x:v>
      </x:c>
      <x:c r="C22" s="61" t="str">
        <x:v>float</x:v>
      </x:c>
      <x:c r="D22" s="62" t="str">
        <x:v>Heating start time. Specify this time even when the heat is read from an external file (IQFUN = -1); it is required for the correct evaluation of the HTC between the fluid and the solid.</x:v>
      </x:c>
      <x:c r="E22" s="61" t="n">
        <x:v>0</x:v>
      </x:c>
      <x:c r="F22" s="61" t="n">
        <x:v>0</x:v>
      </x:c>
      <x:c r="G22" s="61" t="n">
        <x:v>0</x:v>
      </x:c>
    </x:row>
    <x:row r="23" ht="14.5" hidden="0" customHeight="1">
      <x:c r="A23" s="63" t="str">
        <x:v>TQEND</x:v>
      </x:c>
      <x:c r="B23" s="61" t="str">
        <x:v>s</x:v>
      </x:c>
      <x:c r="C23" s="61" t="str">
        <x:v>float</x:v>
      </x:c>
      <x:c r="D23" s="62" t="str">
        <x:v>heating end time</x:v>
      </x:c>
      <x:c r="E23" s="61" t="n">
        <x:v>0</x:v>
      </x:c>
      <x:c r="F23" s="61" t="n">
        <x:v>0</x:v>
      </x:c>
      <x:c r="G23" s="61" t="n">
        <x:v>0</x:v>
      </x:c>
    </x:row>
    <x:row r="24" ht="36" hidden="0" customHeight="1">
      <x:c r="A24" s="63" t="str">
        <x:v>INTIAL</x:v>
      </x:c>
      <x:c r="B24" s="61" t="str">
        <x:v>-</x:v>
      </x:c>
      <x:c r="C24" s="61" t="str">
        <x:v>integer</x:v>
      </x:c>
      <x:c r="D24" s="62" t="str">
        <x:v>flag to define how to initialize STR_STAB temperature initial spatial distribution: 0 = initialization with channel temperature (only if there is thermal contact from CHAN and STR_STAB); 1 = linear spatial distribution with data from below; -1 data from external file</x:v>
      </x:c>
      <x:c r="E24" s="61" t="n">
        <x:v>1</x:v>
      </x:c>
      <x:c r="F24" s="61" t="n">
        <x:v>1</x:v>
      </x:c>
      <x:c r="G24" s="61" t="n">
        <x:v>1</x:v>
      </x:c>
    </x:row>
    <x:row r="25" ht="14.5" hidden="0" customHeight="1">
      <x:c r="A25" s="63" t="str">
        <x:v>TEMINL</x:v>
      </x:c>
      <x:c r="B25" s="61" t="str">
        <x:v>K</x:v>
      </x:c>
      <x:c r="C25" s="61" t="str">
        <x:v>float</x:v>
      </x:c>
      <x:c r="D25" s="62" t="str">
        <x:v>Inlet STR_STAB temperature</x:v>
      </x:c>
      <x:c r="E25" s="61" t="n">
        <x:v>4.5</x:v>
      </x:c>
      <x:c r="F25" s="61" t="n">
        <x:v>4.5</x:v>
      </x:c>
      <x:c r="G25" s="61" t="n">
        <x:v>4.5</x:v>
      </x:c>
    </x:row>
    <x:row r="26" ht="14.5" hidden="0" customHeight="1">
      <x:c r="A26" s="63" t="str">
        <x:v>TEMOUT</x:v>
      </x:c>
      <x:c r="B26" s="61" t="str">
        <x:v>K</x:v>
      </x:c>
      <x:c r="C26" s="61" t="str">
        <x:v>float</x:v>
      </x:c>
      <x:c r="D26" s="62" t="str">
        <x:v>Outlet STR_STAB temperature</x:v>
      </x:c>
      <x:c r="E26" s="61" t="n">
        <x:v>4.5</x:v>
      </x:c>
      <x:c r="F26" s="61" t="n">
        <x:v>4.5</x:v>
      </x:c>
      <x:c r="G26" s="61" t="n">
        <x:v>4.5</x:v>
      </x:c>
    </x:row>
    <x:row r="27" ht="29">
      <x:c r="A27" s="15"/>
      <x:c r="B27" s="3"/>
      <x:c r="C27" s="7"/>
      <x:c r="D27" s="4"/>
      <x:c r="E27" s="25"/>
      <x:c r="F27" s="25"/>
      <x:c r="G27" s="25"/>
    </x:row>
    <x:row r="28" ht="58">
      <x:c r="A28" s="15"/>
      <x:c r="B28" s="3"/>
      <x:c r="C28" s="3"/>
      <x:c r="D28" s="20"/>
      <x:c r="E28" s="25"/>
      <x:c r="F28" s="25"/>
      <x:c r="G28" s="25"/>
    </x:row>
    <x:row r="29">
      <x:c r="A29" s="15"/>
      <x:c r="B29" s="3"/>
      <x:c r="C29" s="3"/>
      <x:c r="D29" s="20"/>
      <x:c r="E29" s="25"/>
      <x:c r="F29" s="25"/>
      <x:c r="G29" s="25"/>
    </x:row>
    <x:row r="30">
      <x:c r="A30" s="15"/>
      <x:c r="B30" s="3"/>
      <x:c r="C30" s="3"/>
      <x:c r="D30" s="20"/>
      <x:c r="E30" s="25"/>
      <x:c r="F30" s="25"/>
      <x:c r="G30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4" hidden="0" customWidth="1"/>
    <x:col min="5" max="5" width="18" style="3" hidden="0" customWidth="1"/>
    <x:col min="6" max="16384" width="8.81640625" style="5" customWidth="0"/>
  </x:cols>
  <x:sheetData>
    <x:row r="1" ht="14.5" hidden="0" customHeight="1">
      <x:c r="A1" s="56" t="str">
        <x:v>Z_JACKET</x:v>
      </x:c>
      <x:c r="B1" s="56" t="n">
        <x:v>1</x:v>
      </x:c>
      <x:c r="C1" s="57"/>
      <x:c r="D1" s="59" t="str">
        <x:v>element of the type "jacket"</x:v>
      </x:c>
      <x:c r="E1" s="57" t="n">
        <x:v>1</x:v>
      </x:c>
    </x:row>
    <x:row r="2" ht="14.5" hidden="0" customHeight="1">
      <x:c r="A2" s="50"/>
      <x:c r="B2" s="47"/>
      <x:c r="C2" s="47"/>
      <x:c r="D2" s="48" t="str">
        <x:v>row used to get the correct number of jacket objects in cell B1 as the sum of values in this row starting from cell D2</x:v>
      </x:c>
      <x:c r="E2" s="49" t="n">
        <x:v>1</x:v>
      </x:c>
    </x:row>
    <x:row r="3" ht="14.5" hidden="0" customHeight="1">
      <x:c r="A3" s="56" t="str">
        <x:v>Variable name</x:v>
      </x:c>
      <x:c r="B3" s="56" t="str">
        <x:v>Unit</x:v>
      </x:c>
      <x:c r="C3" s="56" t="str">
        <x:v>Variable type</x:v>
      </x:c>
      <x:c r="D3" s="59" t="str">
        <x:v>Note/comments</x:v>
      </x:c>
      <x:c r="E3" s="57" t="str">
        <x:v>Z_JACKET_1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str">
        <x:v>none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IBIFUN</x:v>
      </x:c>
      <x:c r="B6" s="61" t="str">
        <x:v>-</x:v>
      </x:c>
      <x:c r="C6" s="61" t="str">
        <x:v>integer</x:v>
      </x:c>
      <x:c r="D6" s="62" t="str">
        <x:v>Magnetic-field definition: 0 = use BISS/BOSS; -1 = read the external profile. The incomplete legacy BITR/BOTR mode is not supported.</x:v>
      </x:c>
      <x:c r="E6" s="78" t="n">
        <x:v>0</x:v>
      </x:c>
    </x:row>
    <x:row r="7" ht="24" hidden="0" customHeight="1">
      <x:c r="A7" s="63" t="str">
        <x:v>B_INTERPOLATION</x:v>
      </x:c>
      <x:c r="B7" s="61" t="str">
        <x:v>-</x:v>
      </x:c>
      <x:c r="C7" s="61" t="str">
        <x:v>string</x:v>
      </x:c>
      <x:c r="D7" s="62" t="str">
        <x:v>Flag used to specify the interpolation method for the magnetic-field data when IBIFUN = -1. Possible values: linear = linear interpolation; cubic = third-order spline interpolation.</x:v>
      </x:c>
      <x:c r="E7" s="61" t="str">
        <x:v>linear</x:v>
      </x:c>
    </x:row>
    <x:row r="8" ht="14.5" hidden="0" customHeight="1">
      <x:c r="A8" s="63" t="str">
        <x:v>B_field_units</x:v>
      </x:c>
      <x:c r="B8" s="61" t="str">
        <x:v>-</x:v>
      </x:c>
      <x:c r="C8" s="61" t="str">
        <x:v>string</x:v>
      </x:c>
      <x:c r="D8" s="62" t="str">
        <x:v>Unit of the quantity read from file if IBIFUN = -1: T or T/A</x:v>
      </x:c>
      <x:c r="E8" s="78" t="str">
        <x:v>T</x:v>
      </x:c>
    </x:row>
    <x:row r="9" ht="14.5" hidden="0" customHeight="1">
      <x:c r="A9" s="63" t="str">
        <x:v>BISS</x:v>
      </x:c>
      <x:c r="B9" s="61" t="str">
        <x:v>T</x:v>
      </x:c>
      <x:c r="C9" s="61" t="str">
        <x:v>float</x:v>
      </x:c>
      <x:c r="D9" s="62" t="str">
        <x:v>Magnetic-field value at x = 0 m, constant in time. Used if IBIFUN = 0.</x:v>
      </x:c>
      <x:c r="E9" s="61" t="n">
        <x:v>17</x:v>
      </x:c>
    </x:row>
    <x:row r="10" ht="14.5" hidden="0" customHeight="1">
      <x:c r="A10" s="63" t="str">
        <x:v>BOSS</x:v>
      </x:c>
      <x:c r="B10" s="61" t="str">
        <x:v>T</x:v>
      </x:c>
      <x:c r="C10" s="61" t="str">
        <x:v>float</x:v>
      </x:c>
      <x:c r="D10" s="62" t="str">
        <x:v>Magnetic-field value at x = L m, constant in time. Used if IBIFUN = 0.</x:v>
      </x:c>
      <x:c r="E10" s="61" t="n">
        <x:v>17</x:v>
      </x:c>
    </x:row>
    <x:row r="11" ht="14.5" hidden="0" customHeight="1">
      <x:c r="A11" s="63" t="str">
        <x:v>IALPHAB</x:v>
      </x:c>
      <x:c r="B11" s="61" t="str">
        <x:v>-</x:v>
      </x:c>
      <x:c r="C11" s="61" t="str">
        <x:v>integer</x:v>
      </x:c>
      <x:c r="D11" s="62" t="str">
        <x:v>flag to define the magnetic field gradient along the strand: 0 = no gradient, -1 = read from file "alphab.dat"</x:v>
      </x:c>
      <x:c r="E11" s="61" t="n">
        <x:v>0</x:v>
      </x:c>
    </x:row>
    <x:row r="12" ht="24" hidden="0" customHeight="1">
      <x:c r="A12" s="63" t="str">
        <x:v>ALPHAB_INTERPOLATION</x:v>
      </x:c>
      <x:c r="B12" s="61" t="str">
        <x:v>-</x:v>
      </x:c>
      <x:c r="C12" s="61" t="str">
        <x:v>string</x:v>
      </x:c>
      <x:c r="D12" s="62" t="str">
        <x:v>Flag used to specify the interpolation method for the magnetic-field-gradient data when IALPHAB = -1. Possible values: linear = linear interpolation; cubic = third-order spline interpolation.</x:v>
      </x:c>
      <x:c r="E12" s="61" t="str">
        <x:v>linear</x:v>
      </x:c>
    </x:row>
    <x:row r="13" ht="24" hidden="0" customHeight="1">
      <x:c r="A13" s="63" t="str">
        <x:v>IQFUN</x:v>
      </x:c>
      <x:c r="B13" s="61" t="str">
        <x:v>-</x:v>
      </x:c>
      <x:c r="C13" s="61" t="str">
        <x:v>integer</x:v>
      </x:c>
      <x:c r="D13" s="62" t="str">
        <x:v>flag for the heating along the strand: 0 = no heating; 1 = square wave in time and space, with values from below; -1 = values from auxiliary file</x:v>
      </x:c>
      <x:c r="E13" s="61" t="n">
        <x:v>0</x:v>
      </x:c>
    </x:row>
    <x:row r="14" ht="24" hidden="0" customHeight="1">
      <x:c r="A14" s="63" t="str">
        <x:v>Q_INTERPOLATION</x:v>
      </x:c>
      <x:c r="B14" s="61" t="str">
        <x:v>-</x:v>
      </x:c>
      <x:c r="C14" s="61" t="str">
        <x:v>string</x:v>
      </x:c>
      <x:c r="D14" s="62" t="str">
        <x:v>Flag used to specify the interpolation method for the heat data when IQFUN = -1. Possible values: linear = linear interpolation; cubic = third-order spline interpolation.</x:v>
      </x:c>
      <x:c r="E14" s="61" t="str">
        <x:v>linear</x:v>
      </x:c>
    </x:row>
    <x:row r="15" ht="14.5" hidden="0" customHeight="1">
      <x:c r="A15" s="63" t="str">
        <x:v>XQBEG</x:v>
      </x:c>
      <x:c r="B15" s="61" t="str">
        <x:v>m</x:v>
      </x:c>
      <x:c r="C15" s="61" t="str">
        <x:v>float</x:v>
      </x:c>
      <x:c r="D15" s="62" t="str">
        <x:v>starting point of the heated zone</x:v>
      </x:c>
      <x:c r="E15" s="61" t="n">
        <x:v>0</x:v>
      </x:c>
    </x:row>
    <x:row r="16" ht="14.5" hidden="0" customHeight="1">
      <x:c r="A16" s="63" t="str">
        <x:v>XQEND</x:v>
      </x:c>
      <x:c r="B16" s="61" t="str">
        <x:v>m</x:v>
      </x:c>
      <x:c r="C16" s="61" t="str">
        <x:v>float</x:v>
      </x:c>
      <x:c r="D16" s="62" t="str">
        <x:v>end point of the heated zone</x:v>
      </x:c>
      <x:c r="E16" s="61" t="n">
        <x:v>0</x:v>
      </x:c>
    </x:row>
    <x:row r="17" ht="14.5" hidden="0" customHeight="1">
      <x:c r="A17" s="63" t="str">
        <x:v>Q0</x:v>
      </x:c>
      <x:c r="B17" s="61" t="str">
        <x:v>W/m</x:v>
      </x:c>
      <x:c r="C17" s="61" t="str">
        <x:v>float</x:v>
      </x:c>
      <x:c r="D17" s="62" t="str">
        <x:v>power density in each jacket</x:v>
      </x:c>
      <x:c r="E17" s="61" t="n">
        <x:v>0</x:v>
      </x:c>
    </x:row>
    <x:row r="18" ht="24" hidden="0" customHeight="1">
      <x:c r="A18" s="63" t="str">
        <x:v>TQBEG</x:v>
      </x:c>
      <x:c r="B18" s="61" t="str">
        <x:v>s</x:v>
      </x:c>
      <x:c r="C18" s="61" t="str">
        <x:v>float</x:v>
      </x:c>
      <x:c r="D18" s="62" t="str">
        <x:v>Heating start time. Specify this time even when the heat is read from an external file (IQFUN = -1); it is required for the correct evaluation of the HTC between the fluid and the solid.</x:v>
      </x:c>
      <x:c r="E18" s="61" t="n">
        <x:v>0</x:v>
      </x:c>
    </x:row>
    <x:row r="19" ht="14.5" hidden="0" customHeight="1">
      <x:c r="A19" s="63" t="str">
        <x:v>TQEND</x:v>
      </x:c>
      <x:c r="B19" s="61" t="str">
        <x:v>s</x:v>
      </x:c>
      <x:c r="C19" s="61" t="str">
        <x:v>float</x:v>
      </x:c>
      <x:c r="D19" s="62" t="str">
        <x:v>heating end time</x:v>
      </x:c>
      <x:c r="E19" s="61" t="n">
        <x:v>0</x:v>
      </x:c>
    </x:row>
    <x:row r="20" ht="36" hidden="0" customHeight="1">
      <x:c r="A20" s="63" t="str">
        <x:v>INTIAL</x:v>
      </x:c>
      <x:c r="B20" s="61" t="str">
        <x:v>-</x:v>
      </x:c>
      <x:c r="C20" s="61" t="str">
        <x:v>integer</x:v>
      </x:c>
      <x:c r="D20" s="62" t="str">
        <x:v>flag to define how to initialize Z_JACKET temperature initial spatial distribution: 0 = initialization with channel temperature (only if there is thermal contact from CHAN and Z_JACKET); 1 = linear spatial distribution with data from below; -1 data from external file</x:v>
      </x:c>
      <x:c r="E20" s="61" t="n">
        <x:v>1</x:v>
      </x:c>
    </x:row>
    <x:row r="21" ht="26.399999618530273" hidden="0" customHeight="1">
      <x:c r="A21" s="63" t="str">
        <x:v>TEMINL</x:v>
      </x:c>
      <x:c r="B21" s="61" t="str">
        <x:v>K</x:v>
      </x:c>
      <x:c r="C21" s="61" t="str">
        <x:v>float</x:v>
      </x:c>
      <x:c r="D21" s="62" t="str">
        <x:v>Inlet Z_JACKET temperature</x:v>
      </x:c>
      <x:c r="E21" s="61" t="n">
        <x:v>4.5</x:v>
      </x:c>
    </x:row>
    <x:row r="22" ht="14.5" hidden="0" customHeight="1">
      <x:c r="A22" s="63" t="str">
        <x:v>TEMOUT</x:v>
      </x:c>
      <x:c r="B22" s="61" t="str">
        <x:v>K</x:v>
      </x:c>
      <x:c r="C22" s="61" t="str">
        <x:v>float</x:v>
      </x:c>
      <x:c r="D22" s="62" t="str">
        <x:v>Outlet Z_JACKET temperature</x:v>
      </x:c>
      <x:c r="E22" s="61" t="n">
        <x:v>4.5</x:v>
      </x:c>
    </x:row>
    <x:row r="23" ht="58">
      <x:c r="A23" s="15"/>
      <x:c r="B23" s="3"/>
      <x:c r="C23" s="3"/>
      <x:c r="D23" s="20"/>
      <x:c r="E23" s="3"/>
    </x:row>
    <x:row r="24">
      <x:c r="A24" s="15"/>
      <x:c r="B24" s="3"/>
      <x:c r="C24" s="3"/>
      <x:c r="D24" s="20"/>
      <x:c r="E24" s="3"/>
    </x:row>
    <x:row r="25">
      <x:c r="A25" s="15"/>
      <x:c r="B25" s="3"/>
      <x:c r="C25" s="3"/>
      <x:c r="D25" s="20"/>
      <x:c r="E25" s="3"/>
    </x:row>
  </x:sheetData>
  <x:pageMargins left="0.7" right="0.7" top="0.75" bottom="0.75" header="0.3" footer="0.3"/>
</x:worksheet>
</file>