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5a34f1b6e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2" r:id="R37970d6b1fff4e9f"/>
    <x:sheet xmlns:r="http://schemas.openxmlformats.org/officeDocument/2006/relationships" name="STACK" sheetId="5" r:id="R6191c094fadc459d"/>
    <x:sheet xmlns:r="http://schemas.openxmlformats.org/officeDocument/2006/relationships" name="STR_MIX" sheetId="3" r:id="R8aee315ad7a84629"/>
    <x:sheet xmlns:r="http://schemas.openxmlformats.org/officeDocument/2006/relationships" name="STR_STAB" sheetId="6" r:id="R0903315d25ce4969"/>
    <x:sheet xmlns:r="http://schemas.openxmlformats.org/officeDocument/2006/relationships" name="Z_JACKET" sheetId="4" r:id="Re4de7ca5bec14054"/>
  </x:sheets>
</x:workbook>
</file>

<file path=xl/sharedStrings.xml><?xml version="1.0" encoding="utf-8"?>
<x:sst xmlns:x="http://schemas.openxmlformats.org/spreadsheetml/2006/main">
  <x:si>
    <x:t xml:space="preserve">element of the type fluid</x:t>
  </x:si>
  <x:si>
    <x:t xml:space="preserve">row used to get the correct number of channel objects in cell B1 as the sum of values in this row starting from cell D2</x:t>
  </x:si>
  <x:si>
    <x:t xml:space="preserve">CROSSECTION</x:t>
  </x:si>
  <x:si>
    <x:t xml:space="preserve">m2</x:t>
  </x:si>
  <x:si>
    <x:t xml:space="preserve">float</x:t>
  </x:si>
  <x:si>
    <x:t xml:space="preserve">cross section</x:t>
  </x:si>
  <x:si>
    <x:t xml:space="preserve">X_barycenter</x:t>
  </x:si>
  <x:si>
    <x:t xml:space="preserve">m</x:t>
  </x:si>
  <x:si>
    <x:t xml:space="preserve">Y_barycenter</x:t>
  </x:si>
  <x:si>
    <x:t xml:space="preserve">FLUID_TYPE</x:t>
  </x:si>
  <x:si>
    <x:t xml:space="preserve">-</x:t>
  </x:si>
  <x:si>
    <x:t xml:space="preserve">string</x:t>
  </x:si>
  <x:si>
    <x:t xml:space="preserve">type of fluid</x:t>
  </x:si>
  <x:si>
    <x:t xml:space="preserve">HYDIAMETER</x:t>
  </x:si>
  <x:si>
    <x:t xml:space="preserve">hydraulic diameter</x:t>
  </x:si>
  <x:si>
    <x:t xml:space="preserve">Roughness</x:t>
  </x:si>
  <x:si>
    <x:t xml:space="preserve">channel equivalent roughness</x:t>
  </x:si>
  <x:si>
    <x:t xml:space="preserve">COSTETA</x:t>
  </x:si>
  <x:si>
    <x:t xml:space="preserve">angle wrt axis</x:t>
  </x:si>
  <x:si>
    <x:t xml:space="preserve">VOID_FRACTION</x:t>
  </x:si>
  <x:si>
    <x:t xml:space="preserve">IFRICTION</x:t>
  </x:si>
  <x:si>
    <x:t xml:space="preserve">integer</x:t>
  </x:si>
  <x:si>
    <x:t xml:space="preserve">FLAG FRICTION MODEL</x:t>
  </x:si>
  <x:si>
    <x:t xml:space="preserve">FRICTION_MULTIPLIER</x:t>
  </x:si>
  <x:si>
    <x:t xml:space="preserve">multiplier of the friction factor, defined for each channel (For the bundle,  </x:t>
  </x:si>
  <x:si>
    <x:t xml:space="preserve">ISRECTANGULAR</x:t>
  </x:si>
  <x:si>
    <x:t xml:space="preserve">boolean</x:t>
  </x:si>
  <x:si>
    <x:t xml:space="preserve">SIDE1</x:t>
  </x:si>
  <x:si>
    <x:t xml:space="preserve">SIDE2</x:t>
  </x:si>
  <x:si>
    <x:t xml:space="preserve">CHANNEL_TYPE</x:t>
  </x:si>
  <x:si>
    <x:t xml:space="preserve">string that identifies the type of the channel (hole, bundle)</x:t>
  </x:si>
  <x:si>
    <x:t xml:space="preserve">Flag_htc_steady_corr</x:t>
  </x:si>
  <x:si>
    <x:t xml:space="preserve">flag to select the correlation used to evaluate the channel steady state heat transfer coefficient</x:t>
  </x:si>
  <x:si>
    <x:t xml:space="preserve">Show_fig</x:t>
  </x:si>
  <x:si>
    <x:t xml:space="preserve">flag to show the real time plots of the maximum temperature and of the inlet and outlet mass flow rate of the channel. Possible values True, False; defaults to True. </x:t>
  </x:si>
  <x:si>
    <x:t xml:space="preserve">element of the type "SC strands"</x:t>
  </x:si>
  <x:si>
    <x:t xml:space="preserve">row used to get the correct number of superconductor strands objects in cell B1 as the sum of values in this row starting from cell D2</x:t>
  </x:si>
  <x:si>
    <x:t xml:space="preserve">element of the type "SC+Cu strands"</x:t>
  </x:si>
  <x:si>
    <x:t xml:space="preserve">element of the type "Cu strands"</x:t>
  </x:si>
  <x:si>
    <x:t xml:space="preserve">row used to get the correct number of copper strand objects in cell B1 as the sum of values in this row starting from cell D2</x:t>
  </x:si>
  <x:si>
    <x:t xml:space="preserve">element of the type "jacket"</x:t>
  </x:si>
  <x:si>
    <x:t xml:space="preserve">row used to get the correct number of jacket objects in cell B1 as the sum of values in this row starting from cell D2</x:t>
  </x:si>
</x:sst>
</file>

<file path=xl/styles.xml><?xml version="1.0" encoding="utf-8"?>
<x:styleSheet xmlns:x="http://schemas.openxmlformats.org/spreadsheetml/2006/main">
  <x:numFmts count="5">
    <x:numFmt numFmtId="164" formatCode="0.000E+00"/>
    <x:numFmt numFmtId="200" formatCode="0.0000"/>
    <x:numFmt numFmtId="201" formatCode="0"/>
    <x:numFmt numFmtId="202" formatCode="0.000000"/>
    <x:numFmt numFmtId="203" formatCode="0.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indexed="8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0" xfId="0" applyAlignment="1">
      <x:alignment vertical="center" wrapText="1"/>
    </x:xf>
    <x:xf numFmtId="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11" fontId="5" fillId="0" borderId="0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11" fontId="5" fillId="0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11" fontId="5" fillId="4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Border="1" applyAlignment="1">
      <x:alignment horizontal="center" vertical="center"/>
    </x:xf>
    <x:xf numFmtId="1" fontId="5" fillId="0" borderId="1" xfId="0" applyNumberFormat="1" applyFont="1" applyFill="1" applyBorder="1" applyAlignment="1">
      <x:alignment horizontal="center" vertical="center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1e234e01746d0" /><Relationship Type="http://schemas.openxmlformats.org/officeDocument/2006/relationships/theme" Target="/xl/theme/theme1.xml" Id="Rb0c81e5312d74db5" /><Relationship Type="http://schemas.microsoft.com/office/2022/11/relationships/FeaturePropertyBag" Target="/xl/featurePropertyBag/featurePropertyBag.xml" Id="Rd7b1abf0e21448bb" /><Relationship Type="http://schemas.openxmlformats.org/officeDocument/2006/relationships/sharedStrings" Target="/xl/sharedStrings.xml" Id="Rd1dc94d4699f49f8" /><Relationship Type="http://schemas.openxmlformats.org/officeDocument/2006/relationships/worksheet" Target="/xl/worksheets/sheet1.xml" Id="R37970d6b1fff4e9f" /><Relationship Type="http://schemas.openxmlformats.org/officeDocument/2006/relationships/worksheet" Target="/xl/worksheets/sheet2.xml" Id="R6191c094fadc459d" /><Relationship Type="http://schemas.openxmlformats.org/officeDocument/2006/relationships/worksheet" Target="/xl/worksheets/sheet3.xml" Id="R8aee315ad7a84629" /><Relationship Type="http://schemas.openxmlformats.org/officeDocument/2006/relationships/worksheet" Target="/xl/worksheets/sheet4.xml" Id="R0903315d25ce4969" /><Relationship Type="http://schemas.openxmlformats.org/officeDocument/2006/relationships/worksheet" Target="/xl/worksheets/sheet5.xml" Id="Re4de7ca5bec140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6" width="17.5703125" style="5" customWidth="1"/>
    <x:col min="7" max="16384" width="8.85546875" style="3" customWidth="0"/>
    <x:col min="5" max="5" width="14" hidden="0" customWidth="1"/>
    <x:col min="6" max="6" width="14" hidden="0" customWidth="1"/>
  </x:cols>
  <x:sheetData>
    <x:row r="1" ht="15" hidden="0" customHeight="1">
      <x:c r="A1" s="40" t="str">
        <x:v>CHAN</x:v>
      </x:c>
      <x:c r="B1" s="41" t="n">
        <x:v>2</x:v>
      </x:c>
      <x:c r="C1" s="40"/>
      <x:c r="D1" s="47" t="s">
        <x:v>0</x:v>
      </x:c>
      <x:c r="E1" s="41" t="n">
        <x:v>1</x:v>
      </x:c>
      <x:c r="F1" s="41" t="n">
        <x:v>2</x:v>
      </x:c>
    </x:row>
    <x:row r="2" ht="15" hidden="0" customHeight="1">
      <x:c r="A2" s="35"/>
      <x:c r="B2" s="34"/>
      <x:c r="C2" s="33"/>
      <x:c r="D2" s="36" t="s">
        <x:v>1</x:v>
      </x:c>
      <x:c r="E2" s="32" t="n">
        <x:v>1</x:v>
      </x:c>
      <x:c r="F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CHAN_1</x:v>
      </x:c>
      <x:c r="F3" s="41" t="str">
        <x:v>CHAN_2</x:v>
      </x:c>
    </x:row>
    <x:row r="4" ht="15" hidden="0" customHeight="1">
      <x:c r="A4" s="43" t="s">
        <x:v>2</x:v>
      </x:c>
      <x:c r="B4" s="44" t="s">
        <x:v>3</x:v>
      </x:c>
      <x:c r="C4" s="44" t="s">
        <x:v>4</x:v>
      </x:c>
      <x:c r="D4" s="48" t="s">
        <x:v>5</x:v>
      </x:c>
      <x:c r="E4" s="45" t="n">
        <x:v>0.0002356194490192345</x:v>
      </x:c>
      <x:c r="F4" s="45" t="n">
        <x:v>0.0033929200658769747</x:v>
      </x:c>
    </x:row>
    <x:row r="5" ht="15" hidden="0" customHeight="1">
      <x:c r="A5" s="43" t="s">
        <x:v>6</x:v>
      </x:c>
      <x:c r="B5" s="44" t="s">
        <x:v>7</x:v>
      </x:c>
      <x:c r="C5" s="44" t="s">
        <x:v>4</x:v>
      </x:c>
      <x:c r="D5" s="48" t="str">
        <x:v>x coordinate of the barycenter. Not used if flag ITYMSH = -1 in file conductor_grid.</x:v>
      </x:c>
      <x:c r="E5" s="45" t="n">
        <x:v>0</x:v>
      </x:c>
      <x:c r="F5" s="45" t="n">
        <x:v>0</x:v>
      </x:c>
    </x:row>
    <x:row r="6" ht="15" hidden="0" customHeight="1">
      <x:c r="A6" s="43" t="s">
        <x:v>8</x:v>
      </x:c>
      <x:c r="B6" s="44" t="s">
        <x:v>7</x:v>
      </x:c>
      <x:c r="C6" s="44" t="s">
        <x:v>4</x:v>
      </x:c>
      <x:c r="D6" s="48" t="str">
        <x:v>y coordinate of the barycenter. Not used if flag ITYMSH = -1 in file conductor_grid.</x:v>
      </x:c>
      <x:c r="E6" s="45" t="n">
        <x:v>0</x:v>
      </x:c>
      <x:c r="F6" s="45" t="n">
        <x:v>0</x:v>
      </x:c>
    </x:row>
    <x:row r="7" ht="15" hidden="0" customHeight="1">
      <x:c r="A7" s="43" t="s">
        <x:v>9</x:v>
      </x:c>
      <x:c r="B7" s="44" t="s">
        <x:v>10</x:v>
      </x:c>
      <x:c r="C7" s="44" t="s">
        <x:v>11</x:v>
      </x:c>
      <x:c r="D7" s="48" t="s">
        <x:v>12</x:v>
      </x:c>
      <x:c r="E7" s="44" t="str">
        <x:v>Helium</x:v>
      </x:c>
      <x:c r="F7" s="44" t="str">
        <x:v>Nitrogen</x:v>
      </x:c>
    </x:row>
    <x:row r="8" ht="15" hidden="0" customHeight="1">
      <x:c r="A8" s="43" t="s">
        <x:v>13</x:v>
      </x:c>
      <x:c r="B8" s="44" t="s">
        <x:v>7</x:v>
      </x:c>
      <x:c r="C8" s="44" t="s">
        <x:v>4</x:v>
      </x:c>
      <x:c r="D8" s="48" t="s">
        <x:v>14</x:v>
      </x:c>
      <x:c r="E8" s="46" t="n">
        <x:v>0.015</x:v>
      </x:c>
      <x:c r="F8" s="46" t="n">
        <x:v>0.0440816326530612</x:v>
      </x:c>
    </x:row>
    <x:row r="9" ht="15" hidden="0" customHeight="1">
      <x:c r="A9" s="43" t="s">
        <x:v>15</x:v>
      </x:c>
      <x:c r="B9" s="44" t="s">
        <x:v>7</x:v>
      </x:c>
      <x:c r="C9" s="44" t="s">
        <x:v>4</x:v>
      </x:c>
      <x:c r="D9" s="48" t="s">
        <x:v>16</x:v>
      </x:c>
      <x:c r="E9" s="46" t="n">
        <x:v>0</x:v>
      </x:c>
      <x:c r="F9" s="46" t="n">
        <x:v>0</x:v>
      </x:c>
    </x:row>
    <x:row r="10" ht="15" hidden="0" customHeight="1">
      <x:c r="A10" s="43" t="s">
        <x:v>17</x:v>
      </x:c>
      <x:c r="B10" s="44" t="s">
        <x:v>10</x:v>
      </x:c>
      <x:c r="C10" s="44" t="s">
        <x:v>4</x:v>
      </x:c>
      <x:c r="D10" s="48" t="s">
        <x:v>18</x:v>
      </x:c>
      <x:c r="E10" s="44" t="n">
        <x:v>1</x:v>
      </x:c>
      <x:c r="F10" s="44" t="n">
        <x:v>1</x:v>
      </x:c>
    </x:row>
    <x:row r="11" ht="15" hidden="0" customHeight="1">
      <x:c r="A11" s="43" t="s">
        <x:v>19</x:v>
      </x:c>
      <x:c r="B11" s="44" t="s">
        <x:v>10</x:v>
      </x:c>
      <x:c r="C11" s="44" t="s">
        <x:v>4</x:v>
      </x:c>
      <x:c r="D11" s="48" t="str">
        <x:v>VOID FRACTION OF THE CHANNEL = VOID AREA / TOTAL AREA OF THE CHANNEL</x:v>
      </x:c>
      <x:c r="E11" s="44" t="n">
        <x:v>1</x:v>
      </x:c>
      <x:c r="F11" s="44" t="n">
        <x:v>1</x:v>
      </x:c>
    </x:row>
    <x:row r="12" ht="15" hidden="0" customHeight="1">
      <x:c r="A12" s="43" t="s">
        <x:v>20</x:v>
      </x:c>
      <x:c r="B12" s="44" t="s">
        <x:v>10</x:v>
      </x:c>
      <x:c r="C12" s="44" t="s">
        <x:v>21</x:v>
      </x:c>
      <x:c r="D12" s="48" t="s">
        <x:v>22</x:v>
      </x:c>
      <x:c r="E12" s="44" t="n">
        <x:v>-99</x:v>
      </x:c>
      <x:c r="F12" s="44" t="n">
        <x:v>-99</x:v>
      </x:c>
    </x:row>
    <x:row r="13" ht="15" hidden="0" customHeight="1">
      <x:c r="A13" s="43" t="s">
        <x:v>23</x:v>
      </x:c>
      <x:c r="B13" s="44" t="s">
        <x:v>10</x:v>
      </x:c>
      <x:c r="C13" s="44" t="s">
        <x:v>4</x:v>
      </x:c>
      <x:c r="D13" s="48" t="s">
        <x:v>24</x:v>
      </x:c>
      <x:c r="E13" s="44" t="n">
        <x:v>0.02</x:v>
      </x:c>
      <x:c r="F13" s="44" t="n">
        <x:v>0.02</x:v>
      </x:c>
    </x:row>
    <x:row r="14" ht="15" hidden="0" customHeight="1">
      <x:c r="A14" s="43" t="s">
        <x:v>25</x:v>
      </x:c>
      <x:c r="B14" s="44" t="s">
        <x:v>10</x:v>
      </x:c>
      <x:c r="C14" s="44" t="s">
        <x:v>26</x:v>
      </x:c>
      <x:c r="D14" s="48"/>
      <x:c r="E14" s="63" t="b">
        <x:v>0</x:v>
      </x:c>
      <x:c r="F14" s="63" t="b">
        <x:v>0</x:v>
      </x:c>
    </x:row>
    <x:row r="15" ht="15" hidden="0" customHeight="1">
      <x:c r="A15" s="43" t="s">
        <x:v>27</x:v>
      </x:c>
      <x:c r="B15" s="44" t="s">
        <x:v>7</x:v>
      </x:c>
      <x:c r="C15" s="44" t="s">
        <x:v>4</x:v>
      </x:c>
      <x:c r="D15" s="48"/>
      <x:c r="E15" s="45" t="n">
        <x:v>0</x:v>
      </x:c>
      <x:c r="F15" s="44" t="n">
        <x:v>0</x:v>
      </x:c>
    </x:row>
    <x:row r="16" ht="15" hidden="0" customHeight="1">
      <x:c r="A16" s="43" t="s">
        <x:v>28</x:v>
      </x:c>
      <x:c r="B16" s="44" t="s">
        <x:v>7</x:v>
      </x:c>
      <x:c r="C16" s="44" t="s">
        <x:v>4</x:v>
      </x:c>
      <x:c r="D16" s="48"/>
      <x:c r="E16" s="45" t="n">
        <x:v>0</x:v>
      </x:c>
      <x:c r="F16" s="44" t="n">
        <x:v>0</x:v>
      </x:c>
    </x:row>
    <x:row r="17" ht="15" hidden="0" customHeight="1">
      <x:c r="A17" s="43" t="s">
        <x:v>29</x:v>
      </x:c>
      <x:c r="B17" s="44" t="s">
        <x:v>10</x:v>
      </x:c>
      <x:c r="C17" s="44" t="s">
        <x:v>11</x:v>
      </x:c>
      <x:c r="D17" s="48" t="s">
        <x:v>30</x:v>
      </x:c>
      <x:c r="E17" s="44" t="str">
        <x:v>hole</x:v>
      </x:c>
      <x:c r="F17" s="44" t="str">
        <x:v>hole</x:v>
      </x:c>
    </x:row>
    <x:row r="18" ht="15" hidden="0" customHeight="1">
      <x:c r="A18" s="43" t="s">
        <x:v>31</x:v>
      </x:c>
      <x:c r="B18" s="44" t="s">
        <x:v>10</x:v>
      </x:c>
      <x:c r="C18" s="44" t="s">
        <x:v>21</x:v>
      </x:c>
      <x:c r="D18" s="48" t="s">
        <x:v>32</x:v>
      </x:c>
      <x:c r="E18" s="44" t="n">
        <x:v>1</x:v>
      </x:c>
      <x:c r="F18" s="44" t="n">
        <x:v>1</x:v>
      </x:c>
    </x:row>
    <x:row r="19" ht="24" hidden="0" customHeight="1">
      <x:c r="A19" s="43" t="s">
        <x:v>33</x:v>
      </x:c>
      <x:c r="B19" s="44" t="s">
        <x:v>10</x:v>
      </x:c>
      <x:c r="C19" s="44" t="s">
        <x:v>26</x:v>
      </x:c>
      <x:c r="D19" s="48" t="s">
        <x:v>34</x:v>
      </x:c>
      <x:c r="E19" s="63" t="b">
        <x:v>0</x:v>
      </x:c>
      <x:c r="F19" s="6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4" style="5" hidden="0" customWidth="1"/>
    <x:col min="6" max="16384" width="8.85546875" style="3" customWidth="0"/>
  </x:cols>
  <x:sheetData>
    <x:row r="1" ht="15" hidden="0" customHeight="1">
      <x:c r="A1" s="40" t="str">
        <x:v>STACK</x:v>
      </x:c>
      <x:c r="B1" s="41" t="n">
        <x:v>0</x:v>
      </x:c>
      <x:c r="C1" s="41"/>
      <x:c r="D1" s="47" t="s">
        <x:v>35</x:v>
      </x:c>
      <x:c r="E1" s="41" t="n">
        <x:v>0</x:v>
      </x:c>
    </x:row>
    <x:row r="2" ht="24" hidden="0" customHeight="1">
      <x:c r="A2" s="35"/>
      <x:c r="B2" s="34"/>
      <x:c r="C2" s="34"/>
      <x:c r="D2" s="36" t="s">
        <x:v>36</x:v>
      </x:c>
      <x:c r="E2" s="32" t="n"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STACK_0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cross section of the stack of tapes.</x:v>
      </x:c>
      <x:c r="E4" s="44" t="n">
        <x:v>0.000001116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Used by geometry-dependent mesh and inductance models.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Used by geometry-dependent mesh and inductance models.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1</x:v>
      </x:c>
    </x:row>
    <x:row r="8" ht="15" hidden="0" customHeight="1">
      <x:c r="A8" s="43" t="str">
        <x:v>N_tape</x:v>
      </x:c>
      <x:c r="B8" s="44" t="str">
        <x:v>-</x:v>
      </x:c>
      <x:c r="C8" s="44" t="str">
        <x:v>integer</x:v>
      </x:c>
      <x:c r="D8" s="48" t="str">
        <x:v>Number of tapes in the stack.</x:v>
      </x:c>
      <x:c r="E8" s="46" t="n">
        <x:v>1</x:v>
      </x:c>
    </x:row>
    <x:row r="9" ht="15" hidden="0" customHeight="1">
      <x:c r="A9" s="43" t="str">
        <x:v>Stack_width</x:v>
      </x:c>
      <x:c r="B9" s="44" t="str">
        <x:v>m</x:v>
      </x:c>
      <x:c r="C9" s="44" t="str">
        <x:v>float</x:v>
      </x:c>
      <x:c r="D9" s="48" t="str">
        <x:v>Tape width; all tapes in the stack are assumed equal.</x:v>
      </x:c>
      <x:c r="E9" s="46" t="n">
        <x:v>0.012</x:v>
      </x:c>
    </x:row>
    <x:row r="10" ht="15" hidden="0" customHeight="1">
      <x:c r="A10" s="43" t="str">
        <x:v>Stabilizer_thickness</x:v>
      </x:c>
      <x:c r="B10" s="44" t="str">
        <x:v>m</x:v>
      </x:c>
      <x:c r="C10" s="44" t="str">
        <x:v>float</x:v>
      </x:c>
      <x:c r="D10" s="48" t="str">
        <x:v>Total stabilizer thickness in one tape; use 0 with material 'none' if absent.</x:v>
      </x:c>
      <x:c r="E10" s="46" t="n">
        <x:v>0.00004</x:v>
      </x:c>
    </x:row>
    <x:row r="11" ht="15" hidden="0" customHeight="1">
      <x:c r="A11" s="43" t="str">
        <x:v>Overlayer_thickness</x:v>
      </x:c>
      <x:c r="B11" s="44" t="str">
        <x:v>m</x:v>
      </x:c>
      <x:c r="C11" s="44" t="str">
        <x:v>float</x:v>
      </x:c>
      <x:c r="D11" s="48" t="str">
        <x:v>Total overlayer thickness in one tape; use 0 with material 'none' if absent.</x:v>
      </x:c>
      <x:c r="E11" s="46" t="n">
        <x:v>0.000002</x:v>
      </x:c>
    </x:row>
    <x:row r="12" ht="15" hidden="0" customHeight="1">
      <x:c r="A12" s="43" t="str">
        <x:v>HTS_thickness</x:v>
      </x:c>
      <x:c r="B12" s="44" t="str">
        <x:v>m</x:v>
      </x:c>
      <x:c r="C12" s="44" t="str">
        <x:v>float</x:v>
      </x:c>
      <x:c r="D12" s="48" t="str">
        <x:v>Total superconducting-layer thickness in one tape.</x:v>
      </x:c>
      <x:c r="E12" s="46" t="n">
        <x:v>0.000001</x:v>
      </x:c>
    </x:row>
    <x:row r="13" ht="15" hidden="0" customHeight="1">
      <x:c r="A13" s="43" t="str">
        <x:v>Substrate_thickness</x:v>
      </x:c>
      <x:c r="B13" s="44" t="str">
        <x:v>m</x:v>
      </x:c>
      <x:c r="C13" s="44" t="str">
        <x:v>float</x:v>
      </x:c>
      <x:c r="D13" s="48" t="str">
        <x:v>Total substrate thickness in one tape; use 0 with material 'none' if absent.</x:v>
      </x:c>
      <x:c r="E13" s="46" t="n">
        <x:v>0.00005</x:v>
      </x:c>
    </x:row>
    <x:row r="14" ht="15" hidden="0" customHeight="1">
      <x:c r="A14" s="43" t="str">
        <x:v>Solder_thickness</x:v>
      </x:c>
      <x:c r="B14" s="44" t="str">
        <x:v>m</x:v>
      </x:c>
      <x:c r="C14" s="44" t="str">
        <x:v>float</x:v>
      </x:c>
      <x:c r="D14" s="48" t="str">
        <x:v>Total solder thickness in one tape; use 0 with material 'none' if absent.</x:v>
      </x:c>
      <x:c r="E14" s="46" t="n">
        <x:v>0</x:v>
      </x:c>
    </x:row>
    <x:row r="15" ht="15" hidden="0" customHeight="1">
      <x:c r="A15" s="43" t="str">
        <x:v>Material_number</x:v>
      </x:c>
      <x:c r="B15" s="44" t="str">
        <x:v>-</x:v>
      </x:c>
      <x:c r="C15" s="44" t="str">
        <x:v>integer</x:v>
      </x:c>
      <x:c r="D15" s="48" t="str">
        <x:v>Number of non-'none' tape materials and nonzero layer thicknesses.</x:v>
      </x:c>
      <x:c r="E15" s="46" t="n">
        <x:v>4</x:v>
      </x:c>
    </x:row>
    <x:row r="16" ht="15" hidden="0" customHeight="1">
      <x:c r="A16" s="43" t="str">
        <x:v>Stabilizer_material</x:v>
      </x:c>
      <x:c r="B16" s="44" t="str">
        <x:v>-</x:v>
      </x:c>
      <x:c r="C16" s="44" t="str">
        <x:v>string</x:v>
      </x:c>
      <x:c r="D16" s="48" t="str">
        <x:v>Stabilizer material. Supported values: Cu, Al. Use none if absent. The Cu spelling is required when RRR is used.</x:v>
      </x:c>
      <x:c r="E16" s="46" t="str">
        <x:v>Cu</x:v>
      </x:c>
    </x:row>
    <x:row r="17" ht="15" hidden="0" customHeight="1">
      <x:c r="A17" s="43" t="str">
        <x:v>Overlayer_material</x:v>
      </x:c>
      <x:c r="B17" s="44" t="str">
        <x:v>-</x:v>
      </x:c>
      <x:c r="C17" s="44" t="str">
        <x:v>string</x:v>
      </x:c>
      <x:c r="D17" s="48" t="str">
        <x:v>Overlayer material. Supported values are case-insensitive: Ag, Ag_Cryosoft, Cu, Al. Use none if absent.</x:v>
      </x:c>
      <x:c r="E17" s="46" t="str">
        <x:v>Ag</x:v>
      </x:c>
    </x:row>
    <x:row r="18" ht="15" hidden="0" customHeight="1">
      <x:c r="A18" s="43" t="str">
        <x:v>superconducting_material</x:v>
      </x:c>
      <x:c r="B18" s="44" t="str">
        <x:v>-</x:v>
      </x:c>
      <x:c r="C18" s="44" t="str">
        <x:v>string</x:v>
      </x:c>
      <x:c r="D18" s="48" t="str">
        <x:v>Superconducting material. Supported value for this component: YBCO.</x:v>
      </x:c>
      <x:c r="E18" s="46" t="str">
        <x:v>YBCO</x:v>
      </x:c>
    </x:row>
    <x:row r="19" ht="15" hidden="0" customHeight="1">
      <x:c r="A19" s="43" t="str">
        <x:v>Substrate_material</x:v>
      </x:c>
      <x:c r="B19" s="44" t="str">
        <x:v>-</x:v>
      </x:c>
      <x:c r="C19" s="44" t="str">
        <x:v>string</x:v>
      </x:c>
      <x:c r="D19" s="48" t="str">
        <x:v>Substrate material. Supported value: hc276. Use none if absent.</x:v>
      </x:c>
      <x:c r="E19" s="46" t="str">
        <x:v>hc276</x:v>
      </x:c>
    </x:row>
    <x:row r="20" ht="15" hidden="0" customHeight="1">
      <x:c r="A20" s="43" t="str">
        <x:v>Solder_material</x:v>
      </x:c>
      <x:c r="B20" s="44" t="str">
        <x:v>-</x:v>
      </x:c>
      <x:c r="C20" s="44" t="str">
        <x:v>string</x:v>
      </x:c>
      <x:c r="D20" s="48" t="str">
        <x:v>Solder material. Supported value: sn60pb40. Use none if absent.</x:v>
      </x:c>
      <x:c r="E20" s="46" t="str">
        <x:v>none</x:v>
      </x:c>
    </x:row>
    <x:row r="21" ht="15" hidden="0" customHeight="1">
      <x:c r="A21" s="43" t="str">
        <x:v>RRR</x:v>
      </x:c>
      <x:c r="B21" s="44" t="str">
        <x:v>-</x:v>
      </x:c>
      <x:c r="C21" s="44" t="str">
        <x:v>float</x:v>
      </x:c>
      <x:c r="D21" s="48" t="str">
        <x:v>Residual-resistivity ratio used when a copper layer is present.</x:v>
      </x:c>
      <x:c r="E21" s="45" t="n">
        <x:v>100</x:v>
      </x:c>
    </x:row>
    <x:row r="22" ht="15" hidden="0" customHeight="1">
      <x:c r="A22" s="43" t="str">
        <x:v>RRR_Ag</x:v>
      </x:c>
      <x:c r="B22" s="44" t="str">
        <x:v>-</x:v>
      </x:c>
      <x:c r="C22" s="44" t="str">
        <x:v>float</x:v>
      </x:c>
      <x:c r="D22" s="48" t="str">
        <x:v>Residual-resistivity ratio required only when a layer uses ag_cryosoft.</x:v>
      </x:c>
      <x:c r="E22" s="44" t="n">
        <x:v>20</x:v>
      </x:c>
    </x:row>
    <x:row r="23" ht="15" hidden="0" customHeight="1">
      <x:c r="A23" s="43" t="str">
        <x:v>C0_MODE</x:v>
      </x:c>
      <x:c r="B23" s="44" t="str">
        <x:v>-</x:v>
      </x:c>
      <x:c r="C23" s="44" t="str">
        <x:v>integer</x:v>
      </x:c>
      <x:c r="D23" s="48" t="str">
        <x:v>Definition of c0: 0 = engineering; 1 = physical.</x:v>
      </x:c>
      <x:c r="E23" s="44" t="n">
        <x:v>0</x:v>
      </x:c>
    </x:row>
    <x:row r="24" ht="15" hidden="0" customHeight="1">
      <x:c r="A24" s="43" t="str">
        <x:v>c0</x:v>
      </x:c>
      <x:c r="B24" s="44" t="str">
        <x:v>A T/m2</x:v>
      </x:c>
      <x:c r="C24" s="44" t="str">
        <x:v>float</x:v>
      </x:c>
      <x:c r="D24" s="48" t="str">
        <x:v>Critical-current scaling coefficient.</x:v>
      </x:c>
      <x:c r="E24" s="44" t="n">
        <x:v>170360000000000</x:v>
      </x:c>
    </x:row>
    <x:row r="25" ht="15" hidden="0" customHeight="1">
      <x:c r="A25" s="43" t="str">
        <x:v>Bc20m</x:v>
      </x:c>
      <x:c r="B25" s="44" t="str">
        <x:v>T</x:v>
      </x:c>
      <x:c r="C25" s="44" t="str">
        <x:v>float</x:v>
      </x:c>
      <x:c r="D25" s="48" t="str">
        <x:v>Upper critical-field scaling parameter.</x:v>
      </x:c>
      <x:c r="E25" s="44" t="n">
        <x:v>30.23</x:v>
      </x:c>
    </x:row>
    <x:row r="26" ht="15" hidden="0" customHeight="1">
      <x:c r="A26" s="43" t="str">
        <x:v>Tc0m</x:v>
      </x:c>
      <x:c r="B26" s="44" t="str">
        <x:v>K</x:v>
      </x:c>
      <x:c r="C26" s="44" t="str">
        <x:v>float</x:v>
      </x:c>
      <x:c r="D26" s="48" t="str">
        <x:v>Critical-temperature scaling parameter.</x:v>
      </x:c>
      <x:c r="E26" s="44" t="n">
        <x:v>16.73</x:v>
      </x:c>
    </x:row>
    <x:row r="27" ht="15" hidden="0" customHeight="1">
      <x:c r="A27" s="43" t="str">
        <x:v>nn</x:v>
      </x:c>
      <x:c r="B27" s="43" t="str">
        <x:v>-</x:v>
      </x:c>
      <x:c r="C27" s="43" t="str">
        <x:v>integer</x:v>
      </x:c>
      <x:c r="D27" s="48" t="str">
        <x:v>Power-law exponent used for superconducting electrical resistivity.</x:v>
      </x:c>
      <x:c r="E27" s="43" t="n">
        <x:v>20</x:v>
      </x:c>
    </x:row>
    <x:row r="28" ht="15" hidden="0" customHeight="1">
      <x:c r="A28" s="43" t="str">
        <x:v>E0</x:v>
      </x:c>
      <x:c r="B28" s="43" t="str">
        <x:v>V/m</x:v>
      </x:c>
      <x:c r="C28" s="43" t="str">
        <x:v>float</x:v>
      </x:c>
      <x:c r="D28" s="48" t="str">
        <x:v>Reference electric field for the superconducting power law.</x:v>
      </x:c>
      <x:c r="E28" s="43" t="n">
        <x:v>0.00001</x:v>
      </x:c>
    </x:row>
    <x:row r="29" ht="15" hidden="0" customHeight="1">
      <x:c r="A29" s="43" t="str">
        <x:v>Show_fig</x:v>
      </x:c>
      <x:c r="B29" s="43" t="str">
        <x:v>-</x:v>
      </x:c>
      <x:c r="C29" s="43" t="str">
        <x:v>boolean</x:v>
      </x:c>
      <x:c r="D29" s="48" t="str">
        <x:v>Show component real-time plots.</x:v>
      </x:c>
      <x:c r="E29" s="5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4" style="5" hidden="0" customWidth="1"/>
    <x:col min="6" max="16384" width="8.85546875" style="3" customWidth="0"/>
  </x:cols>
  <x:sheetData>
    <x:row r="1" ht="15" hidden="0" customHeight="1">
      <x:c r="A1" s="40" t="str">
        <x:v>STR_MIX</x:v>
      </x:c>
      <x:c r="B1" s="41" t="n">
        <x:v>0</x:v>
      </x:c>
      <x:c r="C1" s="41"/>
      <x:c r="D1" s="47" t="s">
        <x:v>37</x:v>
      </x:c>
      <x:c r="E1" s="41" t="n">
        <x:v>0</x:v>
      </x:c>
    </x:row>
    <x:row r="2" ht="24" hidden="0" customHeight="1">
      <x:c r="A2" s="35"/>
      <x:c r="B2" s="34"/>
      <x:c r="C2" s="34"/>
      <x:c r="D2" s="36" t="str">
        <x:v>Row used to determine the number of mixed copper-superconductor strand objects in cell B1, calculated as the sum of the values in this row starting from cell D2.</x:v>
      </x:c>
      <x:c r="E2" s="32" t="n"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STR_MIX_0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perpendicular cross section; it must equal the sum computed from strand counts and diameters.</x:v>
      </x:c>
      <x:c r="E4" s="45" t="n">
        <x:f>(0.00052534+0.00025201)*E7</x:f>
        <x:v>0.000753951765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0.9699</x:v>
      </x:c>
    </x:row>
    <x:row r="8" ht="15" hidden="0" customHeight="1">
      <x:c r="A8" s="43" t="str">
        <x:v>ISTAB_NON_STAB</x:v>
      </x:c>
      <x:c r="B8" s="44" t="str">
        <x:v>-</x:v>
      </x:c>
      <x:c r="C8" s="44" t="str">
        <x:v>integer</x:v>
      </x:c>
      <x:c r="D8" s="48" t="str">
        <x:v>Definition of STAB_NON_STAB: 0 excludes segregated stabilizer strands; 1 includes them.</x:v>
      </x:c>
      <x:c r="E8" s="46" t="n">
        <x:v>1</x:v>
      </x:c>
    </x:row>
    <x:row r="9" ht="15" hidden="0" customHeight="1">
      <x:c r="A9" s="43" t="str">
        <x:v>STAB_NON_STAB</x:v>
      </x:c>
      <x:c r="B9" s="44" t="str">
        <x:v>-</x:v>
      </x:c>
      <x:c r="C9" s="44" t="str">
        <x:v>float</x:v>
      </x:c>
      <x:c r="D9" s="48" t="str">
        <x:v>Stabilizer-to-superconductor cross-section ratio.</x:v>
      </x:c>
      <x:c r="E9" s="67" t="n">
        <x:v>2.0846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constituent material types.</x:v>
      </x:c>
      <x:c r="E10" s="59" t="n">
        <x:v>2</x:v>
      </x:c>
    </x:row>
    <x:row r="11" ht="15" hidden="0" customHeight="1">
      <x:c r="A11" s="43" t="str">
        <x:v>N_sc_strand</x:v>
      </x:c>
      <x:c r="B11" s="44" t="str">
        <x:v>-</x:v>
      </x:c>
      <x:c r="C11" s="44" t="str">
        <x:v>integer</x:v>
      </x:c>
      <x:c r="D11" s="48" t="str">
        <x:v>Number of superconducting strands.</x:v>
      </x:c>
      <x:c r="E11" s="68" t="n">
        <x:v>900</x:v>
      </x:c>
    </x:row>
    <x:row r="12" ht="15" hidden="0" customHeight="1">
      <x:c r="A12" s="43" t="str">
        <x:v>d_sc_strand</x:v>
      </x:c>
      <x:c r="B12" s="44" t="str">
        <x:v>m</x:v>
      </x:c>
      <x:c r="C12" s="44" t="str">
        <x:v>float</x:v>
      </x:c>
      <x:c r="D12" s="48" t="str">
        <x:v>Diameter of each superconducting strand.</x:v>
      </x:c>
      <x:c r="E12" s="69" t="n">
        <x:f>0.000822</x:f>
        <x:v>0.000822</x:v>
      </x:c>
    </x:row>
    <x:row r="13" ht="15" hidden="0" customHeight="1">
      <x:c r="A13" s="43" t="str">
        <x:v>N_stab_strand</x:v>
      </x:c>
      <x:c r="B13" s="44" t="str">
        <x:v>-</x:v>
      </x:c>
      <x:c r="C13" s="44" t="str">
        <x:v>integer</x:v>
      </x:c>
      <x:c r="D13" s="48" t="str">
        <x:v>Number of segregated stabilizer strands.</x:v>
      </x:c>
      <x:c r="E13" s="68" t="n">
        <x:v>522</x:v>
      </x:c>
    </x:row>
    <x:row r="14" ht="15" hidden="0" customHeight="1">
      <x:c r="A14" s="43" t="str">
        <x:v>d_stab_strand</x:v>
      </x:c>
      <x:c r="B14" s="44" t="str">
        <x:v>m</x:v>
      </x:c>
      <x:c r="C14" s="44" t="str">
        <x:v>float</x:v>
      </x:c>
      <x:c r="D14" s="48" t="str">
        <x:v>Diameter of each segregated stabilizer strand; use 0 when N_stab_strand is 0.</x:v>
      </x:c>
      <x:c r="E14" s="69" t="n">
        <x:f>0.000821</x:f>
        <x:v>0.000821</x:v>
      </x:c>
    </x:row>
    <x:row r="15" ht="15" hidden="0" customHeight="1">
      <x:c r="A15" s="43" t="str">
        <x:v>stabilizer_material</x:v>
      </x:c>
      <x:c r="B15" s="44" t="str">
        <x:v>-</x:v>
      </x:c>
      <x:c r="C15" s="44" t="str">
        <x:v>string</x:v>
      </x:c>
      <x:c r="D15" s="48" t="str">
        <x:v>Stabilizer material. Supported values: Cu, Al. The Cu spelling is required when RRR is used.</x:v>
      </x:c>
      <x:c r="E15" s="45" t="str">
        <x:v>Cu</x:v>
      </x:c>
    </x:row>
    <x:row r="16" ht="15" hidden="0" customHeight="1">
      <x:c r="A16" s="43" t="str">
        <x:v>RRR</x:v>
      </x:c>
      <x:c r="B16" s="44" t="str">
        <x:v>-</x:v>
      </x:c>
      <x:c r="C16" s="44" t="str">
        <x:v>float</x:v>
      </x:c>
      <x:c r="D16" s="48" t="str">
        <x:v>Residual-resistivity ratio used when stabilizer_material is cu.</x:v>
      </x:c>
      <x:c r="E16" s="70" t="n">
        <x:v>197.71</x:v>
      </x:c>
    </x:row>
    <x:row r="17" ht="15" hidden="0" customHeight="1">
      <x:c r="A17" s="43" t="str">
        <x:v>superconducting_material</x:v>
      </x:c>
      <x:c r="B17" s="44" t="str">
        <x:v>-</x:v>
      </x:c>
      <x:c r="C17" s="44" t="str">
        <x:v>string</x:v>
      </x:c>
      <x:c r="D17" s="48" t="str">
        <x:v>Superconducting material. Supported values are case-insensitive: NbTi, Nb3Sn, YBCO, MgB2.</x:v>
      </x:c>
      <x:c r="E17" s="44" t="str">
        <x:v>Nb3Sn</x:v>
      </x:c>
    </x:row>
    <x:row r="18" ht="15" hidden="0" customHeight="1">
      <x:c r="A18" s="43" t="str">
        <x:v>C0_MODE</x:v>
      </x:c>
      <x:c r="B18" s="44" t="str">
        <x:v>-</x:v>
      </x:c>
      <x:c r="C18" s="44" t="str">
        <x:v>integer</x:v>
      </x:c>
      <x:c r="D18" s="48" t="str">
        <x:v>Definition of c0: 0 = engineering; 1 = physical.</x:v>
      </x:c>
      <x:c r="E18" s="44" t="n">
        <x:v>0</x:v>
      </x:c>
    </x:row>
    <x:row r="19" ht="15" hidden="0" customHeight="1">
      <x:c r="A19" s="43" t="str">
        <x:v>c0</x:v>
      </x:c>
      <x:c r="B19" s="44" t="str">
        <x:v>A T/m2</x:v>
      </x:c>
      <x:c r="C19" s="44" t="str">
        <x:v>float</x:v>
      </x:c>
      <x:c r="D19" s="48" t="str">
        <x:v>Critical-current scaling coefficient.</x:v>
      </x:c>
      <x:c r="E19" s="43" t="n">
        <x:v>121508000000</x:v>
      </x:c>
    </x:row>
    <x:row r="20" ht="15" hidden="0" customHeight="1">
      <x:c r="A20" s="43" t="str">
        <x:v>Bc20m</x:v>
      </x:c>
      <x:c r="B20" s="44" t="str">
        <x:v>T</x:v>
      </x:c>
      <x:c r="C20" s="44" t="str">
        <x:v>float</x:v>
      </x:c>
      <x:c r="D20" s="48" t="str">
        <x:v>Upper critical-field scaling parameter.</x:v>
      </x:c>
      <x:c r="E20" s="43" t="n">
        <x:v>32.35</x:v>
      </x:c>
    </x:row>
    <x:row r="21" ht="15" hidden="0" customHeight="1">
      <x:c r="A21" s="43" t="str">
        <x:v>Tc0m</x:v>
      </x:c>
      <x:c r="B21" s="44" t="str">
        <x:v>K</x:v>
      </x:c>
      <x:c r="C21" s="44" t="str">
        <x:v>float</x:v>
      </x:c>
      <x:c r="D21" s="48" t="str">
        <x:v>Critical-temperature scaling parameter.</x:v>
      </x:c>
      <x:c r="E21" s="43" t="n">
        <x:v>16.22</x:v>
      </x:c>
    </x:row>
    <x:row r="22" ht="15" hidden="0" customHeight="1">
      <x:c r="A22" s="43" t="str">
        <x:v>nn</x:v>
      </x:c>
      <x:c r="B22" s="44" t="str">
        <x:v>-</x:v>
      </x:c>
      <x:c r="C22" s="44" t="str">
        <x:v>integer</x:v>
      </x:c>
      <x:c r="D22" s="48" t="str">
        <x:v>Power-law exponent used for superconducting electrical resistivity.</x:v>
      </x:c>
      <x:c r="E22" s="71" t="n">
        <x:v>5</x:v>
      </x:c>
    </x:row>
    <x:row r="23" ht="15" hidden="0" customHeight="1">
      <x:c r="A23" s="43" t="str">
        <x:v>E0</x:v>
      </x:c>
      <x:c r="B23" s="44" t="str">
        <x:v>V/m</x:v>
      </x:c>
      <x:c r="C23" s="44" t="str">
        <x:v>float</x:v>
      </x:c>
      <x:c r="D23" s="48" t="str">
        <x:v>Reference electric field for the superconducting power law.</x:v>
      </x:c>
      <x:c r="E23" s="43" t="n">
        <x:v>0.00001</x:v>
      </x:c>
    </x:row>
    <x:row r="24" ht="15" hidden="0" customHeight="1">
      <x:c r="A24" s="43" t="str">
        <x:v>Show_fig</x:v>
      </x:c>
      <x:c r="B24" s="44" t="str">
        <x:v>-</x:v>
      </x:c>
      <x:c r="C24" s="44" t="str">
        <x:v>boolean</x:v>
      </x:c>
      <x:c r="D24" s="48" t="str">
        <x:v>Show component real-time plots.</x:v>
      </x:c>
      <x:c r="E24" s="5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4" style="5" hidden="0" customWidth="1"/>
    <x:col min="6" max="16384" width="8.85546875" style="3" customWidth="0"/>
  </x:cols>
  <x:sheetData>
    <x:row r="1" ht="15" hidden="0" customHeight="1">
      <x:c r="A1" s="40" t="str">
        <x:v>STR_STAB</x:v>
      </x:c>
      <x:c r="B1" s="41" t="n">
        <x:v>1</x:v>
      </x:c>
      <x:c r="C1" s="41"/>
      <x:c r="D1" s="47" t="s">
        <x:v>38</x:v>
      </x:c>
      <x:c r="E1" s="41" t="n">
        <x:v>1</x:v>
      </x:c>
    </x:row>
    <x:row r="2" ht="24" hidden="0" customHeight="1">
      <x:c r="A2" s="35"/>
      <x:c r="B2" s="34"/>
      <x:c r="C2" s="34"/>
      <x:c r="D2" s="36" t="s">
        <x:v>39</x:v>
      </x:c>
      <x:c r="E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STR_STAB_1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4" t="n">
        <x:v>0.00007853981633974483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angle wrt axis</x:v>
      </x:c>
      <x:c r="E7" s="46" t="n">
        <x:v>0.9699</x:v>
      </x:c>
    </x:row>
    <x:row r="8" ht="15" hidden="0" customHeight="1">
      <x:c r="A8" s="43" t="str">
        <x:v>stabilizer_material</x:v>
      </x:c>
      <x:c r="B8" s="44" t="str">
        <x:v>-</x:v>
      </x:c>
      <x:c r="C8" s="44" t="str">
        <x:v>string</x:v>
      </x:c>
      <x:c r="D8" s="48" t="str">
        <x:v>Stabilizer material. Supported values: cu, al, al_cryosoft, al6063_cryosoft.</x:v>
      </x:c>
      <x:c r="E8" s="59" t="str">
        <x:v>Cu</x:v>
      </x:c>
    </x:row>
    <x:row r="9" ht="15" hidden="0" customHeight="1">
      <x:c r="A9" s="43" t="str">
        <x:v>RRR</x:v>
      </x:c>
      <x:c r="B9" s="44" t="str">
        <x:v>-</x:v>
      </x:c>
      <x:c r="C9" s="44" t="str">
        <x:v>float</x:v>
      </x:c>
      <x:c r="D9" s="48" t="str">
        <x:v>Residual-resistivity ratio required for cu and al_cryosoft; ignored by al and al6063_cryosoft.</x:v>
      </x:c>
      <x:c r="E9" s="58" t="n">
        <x:v>100</x:v>
      </x:c>
    </x:row>
    <x:row r="10" ht="15" hidden="0" customHeight="1">
      <x:c r="A10" s="43" t="str">
        <x:v>Show_fig</x:v>
      </x:c>
      <x:c r="B10" s="44" t="str">
        <x:v>-</x:v>
      </x:c>
      <x:c r="C10" s="44" t="str">
        <x:v>boolean</x:v>
      </x:c>
      <x:c r="D10" s="48" t="str">
        <x:v>flag to show the real time plots of the maximum temperature strand. Possible values True, False; defaults to True. </x:v>
      </x:c>
      <x:c r="E10" s="63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4" style="5" hidden="0" customWidth="1"/>
    <x:col min="6" max="16384" width="8.85546875" style="3" customWidth="0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15" hidden="0" customHeight="1">
      <x:c r="A1" s="40" t="str">
        <x:v>Z_JACKET</x:v>
      </x:c>
      <x:c r="B1" s="41" t="n">
        <x:v>6</x:v>
      </x:c>
      <x:c r="C1" s="41"/>
      <x:c r="D1" s="47" t="s">
        <x:v>40</x:v>
      </x:c>
      <x:c r="E1" s="41" t="n">
        <x:v>1</x:v>
      </x:c>
      <x:c r="F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</x:row>
    <x:row r="2" ht="15" hidden="0" customHeight="1">
      <x:c r="A2" s="35"/>
      <x:c r="B2" s="34"/>
      <x:c r="C2" s="34"/>
      <x:c r="D2" s="36" t="s">
        <x:v>41</x:v>
      </x:c>
      <x:c r="E2" s="3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Z_JACKET_1</x:v>
      </x:c>
      <x:c r="F3" t="str">
        <x:v>Z_JACKET_2</x:v>
      </x:c>
      <x:c r="G3" t="str">
        <x:v>Z_JACKET_3</x:v>
      </x:c>
      <x:c r="H3" t="str">
        <x:v>Z_JACKET_4</x:v>
      </x:c>
      <x:c r="I3" t="str">
        <x:v>Z_JACKET_5</x:v>
      </x:c>
      <x:c r="J3" t="str">
        <x:v>Z_JACKET_6</x:v>
      </x:c>
    </x:row>
    <x:row r="4" ht="15" hidden="0" customHeight="1">
      <x:c r="A4" s="43" t="str">
        <x:v>jacket_cross_section</x:v>
      </x:c>
      <x:c r="B4" s="44" t="str">
        <x:v>m2</x:v>
      </x:c>
      <x:c r="C4" s="44" t="str">
        <x:v>float</x:v>
      </x:c>
      <x:c r="D4" s="48" t="str">
        <x:v>Cross section, pure jacket</x:v>
      </x:c>
      <x:c r="E4" s="45" t="n">
        <x:v>0.0001382300767579509</x:v>
      </x:c>
      <x:c r="F4" t="n">
        <x:v>0.0004555309347705201</x:v>
      </x:c>
      <x:c r="G4" t="n">
        <x:v>0</x:v>
      </x:c>
      <x:c r="H4" t="n">
        <x:v>0.0007539822368615509</x:v>
      </x:c>
      <x:c r="I4" t="n">
        <x:v>0.0009047786842338606</x:v>
      </x:c>
      <x:c r="J4" t="n">
        <x:v>0</x:v>
      </x:c>
    </x:row>
    <x:row r="5" ht="15" hidden="0" customHeight="1">
      <x:c r="A5" s="43" t="str">
        <x:v>insulation_cross_section</x:v>
      </x:c>
      <x:c r="B5" s="44" t="str">
        <x:v>m2</x:v>
      </x:c>
      <x:c r="C5" s="44" t="str">
        <x:v>float</x:v>
      </x:c>
      <x:c r="D5" s="48" t="str">
        <x:v>Cross section, insulation around the jacket</x:v>
      </x:c>
      <x:c r="E5" s="45" t="n">
        <x:v>0</x:v>
      </x:c>
      <x:c r="F5" t="n">
        <x:v>0</x:v>
      </x:c>
      <x:c r="G5" t="n">
        <x:v>0.006408849013323179</x:v>
      </x:c>
      <x:c r="H5" t="n">
        <x:v>0</x:v>
      </x:c>
      <x:c r="I5" t="n">
        <x:v>0</x:v>
      </x:c>
      <x:c r="J5" t="n">
        <x:v>0.0023719024534602953</x:v>
      </x:c>
    </x:row>
    <x:row r="6" ht="15" hidden="0" customHeight="1">
      <x:c r="A6" s="43" t="str">
        <x:v>X_barycenter</x:v>
      </x:c>
      <x:c r="B6" s="44" t="str">
        <x:v>m</x:v>
      </x:c>
      <x:c r="C6" s="44" t="str">
        <x:v>float</x:v>
      </x:c>
      <x:c r="D6" s="48" t="str">
        <x:v>x coordinate of the barycenter. Not used if flag ITYMSH = -1 in file conductor_grid.</x:v>
      </x:c>
      <x:c r="E6" s="45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</x:row>
    <x:row r="7" ht="15" hidden="0" customHeight="1">
      <x:c r="A7" s="43" t="str">
        <x:v>Y_barycenter</x:v>
      </x:c>
      <x:c r="B7" s="44" t="str">
        <x:v>m</x:v>
      </x:c>
      <x:c r="C7" s="44" t="str">
        <x:v>float</x:v>
      </x:c>
      <x:c r="D7" s="48" t="str">
        <x:v>y coordinate of the barycenter. Not used if flag ITYMSH = -1 in file conductor_grid.</x:v>
      </x:c>
      <x:c r="E7" s="45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</x:row>
    <x:row r="8" ht="15" hidden="0" customHeight="1">
      <x:c r="A8" s="43" t="str">
        <x:v>Inner_perimeter</x:v>
      </x:c>
      <x:c r="B8" s="44" t="str">
        <x:v>m</x:v>
      </x:c>
      <x:c r="C8" s="44" t="str">
        <x:v>float</x:v>
      </x:c>
      <x:c r="D8" s="48" t="str">
        <x:v>Inner lateral surface per unit length of the jacket</x:v>
      </x:c>
      <x:c r="E8" s="45" t="n">
        <x:v>0.06283185307179587</x:v>
      </x:c>
      <x:c r="F8" t="n">
        <x:v>0.13823007675795088</x:v>
      </x:c>
      <x:c r="G8" t="n">
        <x:v>0.15079644737231007</x:v>
      </x:c>
      <x:c r="H8" t="n">
        <x:v>0.40212385965949354</x:v>
      </x:c>
      <x:c r="I8" t="n">
        <x:v>0.47752208334564855</x:v>
      </x:c>
      <x:c r="J8" t="n">
        <x:v>0.4900884539600077</x:v>
      </x:c>
    </x:row>
    <x:row r="9" ht="15" hidden="0" customHeight="1">
      <x:c r="A9" s="43" t="str">
        <x:v>Outer_perimeter</x:v>
      </x:c>
      <x:c r="B9" s="44" t="str">
        <x:v>m</x:v>
      </x:c>
      <x:c r="C9" s="44" t="str">
        <x:v>float</x:v>
      </x:c>
      <x:c r="D9" s="48" t="str">
        <x:v>Outer lateral surface per unit length of the jacket</x:v>
      </x:c>
      <x:c r="E9" s="45" t="n">
        <x:v>0.07539822368615504</x:v>
      </x:c>
      <x:c r="F9" t="n">
        <x:v>0.15079644737231007</x:v>
      </x:c>
      <x:c r="G9" t="n">
        <x:v>0.33929200658769765</x:v>
      </x:c>
      <x:c r="H9" t="n">
        <x:v>0.4146902302738527</x:v>
      </x:c>
      <x:c r="I9" t="n">
        <x:v>0.4900884539600077</x:v>
      </x:c>
      <x:c r="J9" t="n">
        <x:v>0.5843362335677015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 number of materials making up the jacket</x:v>
      </x:c>
      <x:c r="E10" s="58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</x:row>
    <x:row r="11" ht="24" hidden="0" customHeight="1">
      <x:c r="A11" s="43" t="str">
        <x:v>jacket_material</x:v>
      </x:c>
      <x:c r="B11" s="44" t="str">
        <x:v>-</x:v>
      </x:c>
      <x:c r="C11" s="44" t="str">
        <x:v>string</x:v>
      </x:c>
      <x:c r="D11" s="48" t="str">
        <x:v>Metallic jacket material. Supported values: ss, al, al_cryosoft, al6063_cryosoft; use none for an insulation-only component.</x:v>
      </x:c>
      <x:c r="E11" s="58" t="str">
        <x:v>ss</x:v>
      </x:c>
      <x:c r="F11" t="str">
        <x:v>ss</x:v>
      </x:c>
      <x:c r="G11" t="str">
        <x:v>none</x:v>
      </x:c>
      <x:c r="H11" t="str">
        <x:v>ss</x:v>
      </x:c>
      <x:c r="I11" t="str">
        <x:v>ss</x:v>
      </x:c>
      <x:c r="J11" t="str">
        <x:v>none</x:v>
      </x:c>
    </x:row>
    <x:row r="12" ht="15" hidden="0" customHeight="1">
      <x:c r="A12" s="43" t="str">
        <x:v>insulation_material</x:v>
      </x:c>
      <x:c r="B12" s="44" t="str">
        <x:v>-</x:v>
      </x:c>
      <x:c r="C12" s="44" t="str">
        <x:v>string</x:v>
      </x:c>
      <x:c r="D12" s="48" t="str">
        <x:v>Insulation material. Supported value: ge; use none for a purely metallic component.</x:v>
      </x:c>
      <x:c r="E12" s="58" t="str">
        <x:v>none</x:v>
      </x:c>
      <x:c r="F12" t="str">
        <x:v>none</x:v>
      </x:c>
      <x:c r="G12" t="str">
        <x:v>ge</x:v>
      </x:c>
      <x:c r="H12" t="str">
        <x:v>none</x:v>
      </x:c>
      <x:c r="I12" t="str">
        <x:v>none</x:v>
      </x:c>
      <x:c r="J12" t="str">
        <x:v>ge</x:v>
      </x:c>
    </x:row>
    <x:row r="13" ht="15" hidden="0" customHeight="1">
      <x:c r="A13" s="43" t="str">
        <x:v>COSTETA</x:v>
      </x:c>
      <x:c r="B13" s="44" t="str">
        <x:v>-</x:v>
      </x:c>
      <x:c r="C13" s="44" t="str">
        <x:v>float</x:v>
      </x:c>
      <x:c r="D13" s="48"/>
      <x:c r="E13" s="45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</x:row>
    <x:row r="14" ht="15" hidden="0" customHeight="1">
      <x:c r="A14" s="43" t="str">
        <x:v>RRR</x:v>
      </x:c>
      <x:c r="B14" s="44" t="str">
        <x:v>-</x:v>
      </x:c>
      <x:c r="C14" s="44" t="str">
        <x:v>float</x:v>
      </x:c>
      <x:c r="D14" s="48" t="str">
        <x:v>Residual-resistivity ratio required only when jacket_material is al_cryosoft.</x:v>
      </x:c>
      <x:c r="E14" s="66" t="n">
        <x:v>100</x:v>
      </x:c>
      <x:c r="F14" t="n">
        <x:v>100</x:v>
      </x:c>
      <x:c r="G14" t="n">
        <x:v>100</x:v>
      </x:c>
      <x:c r="H14" t="n">
        <x:v>100</x:v>
      </x:c>
      <x:c r="I14" t="n">
        <x:v>100</x:v>
      </x:c>
      <x:c r="J14" t="n">
        <x:v>100</x:v>
      </x:c>
    </x:row>
    <x:row r="15" ht="15" hidden="0" customHeight="1">
      <x:c r="A15" s="43" t="str">
        <x:v>Jacket_kind</x:v>
      </x:c>
      <x:c r="B15" s="44" t="str">
        <x:v>-</x:v>
      </x:c>
      <x:c r="C15" s="44" t="str">
        <x:v>string</x:v>
      </x:c>
      <x:c r="D15" s="48" t="str">
        <x:v>kind of jacket: outer_insulation, enclosure, whole_enclosure, spiral, inner_jacket</x:v>
      </x:c>
      <x:c r="E15" s="44" t="str">
        <x:v>inner_jacket</x:v>
      </x:c>
      <x:c r="F15" t="str">
        <x:v>inner_jacket</x:v>
      </x:c>
      <x:c r="G15" t="str">
        <x:v>inner_jacket</x:v>
      </x:c>
      <x:c r="H15" t="str">
        <x:v>inner_jacket</x:v>
      </x:c>
      <x:c r="I15" t="str">
        <x:v>enclosure</x:v>
      </x:c>
      <x:c r="J15" t="str">
        <x:v>outer_insulation</x:v>
      </x:c>
    </x:row>
    <x:row r="16" ht="15" hidden="0" customHeight="1">
      <x:c r="A16" s="43" t="str">
        <x:v>Emissivity</x:v>
      </x:c>
      <x:c r="B16" s="44" t="str">
        <x:v>-</x:v>
      </x:c>
      <x:c r="C16" s="44" t="str">
        <x:v>float</x:v>
      </x:c>
      <x:c r="D16" s="48" t="str">
        <x:v>emissivity of the material</x:v>
      </x:c>
      <x:c r="E16" s="44" t="n">
        <x:v>0.8</x:v>
      </x:c>
      <x:c r="F16" t="n">
        <x:v>0.8</x:v>
      </x:c>
      <x:c r="G16" t="n">
        <x:v>0</x:v>
      </x:c>
      <x:c r="H16" t="n">
        <x:v>0.8</x:v>
      </x:c>
      <x:c r="I16" t="n">
        <x:v>0.8</x:v>
      </x:c>
      <x:c r="J16" t="n">
        <x:v>0.8</x:v>
      </x:c>
    </x:row>
    <x:row r="17" ht="15" hidden="0" customHeight="1">
      <x:c r="A17" s="43" t="str">
        <x:v>Show_fig</x:v>
      </x:c>
      <x:c r="B17" s="43" t="str">
        <x:v>-</x:v>
      </x:c>
      <x:c r="C17" s="43" t="str">
        <x:v>boolean</x:v>
      </x:c>
      <x:c r="D17" s="48" t="str">
        <x:v>flag to show the real time plots of the maximum temperature jacket. Possible values True, False; defaults to True. </x:v>
      </x:c>
      <x:c r="E17" s="53" t="b">
        <x:v>0</x:v>
      </x:c>
      <x:c r="F17" s="49" t="b">
        <x:v>0</x:v>
      </x:c>
      <x:c r="G17" s="49" t="b">
        <x:v>0</x:v>
      </x:c>
      <x:c r="H17" s="49" t="b">
        <x:v>0</x:v>
      </x:c>
      <x:c r="I17" s="49" t="b">
        <x:v>0</x:v>
      </x:c>
      <x:c r="J17" s="49" t="b">
        <x:v>0</x:v>
      </x:c>
    </x:row>
  </x:sheetData>
  <x:pageMargins left="0.7" right="0.7" top="0.75" bottom="0.75" header="0.3" footer="0.3"/>
</x:worksheet>
</file>