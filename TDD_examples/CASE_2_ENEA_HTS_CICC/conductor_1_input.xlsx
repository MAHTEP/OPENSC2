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8d8cba685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c26bda5c01c14f6e"/>
    <x:sheet xmlns:r="http://schemas.openxmlformats.org/officeDocument/2006/relationships" name="STACK" sheetId="5" r:id="Rcdb4f22e61c44097"/>
    <x:sheet xmlns:r="http://schemas.openxmlformats.org/officeDocument/2006/relationships" name="STR_MIX" sheetId="3" r:id="R82dd7ae1f561479f"/>
    <x:sheet xmlns:r="http://schemas.openxmlformats.org/officeDocument/2006/relationships" name="STR_STAB" sheetId="6" r:id="R369982b22ec440cd"/>
    <x:sheet xmlns:r="http://schemas.openxmlformats.org/officeDocument/2006/relationships" name="Z_JACKET" sheetId="4" r:id="Raba2f166b0fc4063"/>
  </x:sheets>
</x:workbook>
</file>

<file path=xl/sharedStrings.xml><?xml version="1.0" encoding="utf-8"?>
<x:sst xmlns:x="http://schemas.openxmlformats.org/spreadsheetml/2006/main">
  <x:si>
    <x:t xml:space="preserve">element of the type "SC strands"</x:t>
  </x:si>
  <x:si>
    <x:t xml:space="preserve">row used to get the correct number of superconductor strands objects in cell B1 as the sum of values in this row starting from cell D2</x:t>
  </x:si>
  <x:si>
    <x:t xml:space="preserve">element of the type "SC+Cu strands"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</x:si>
</x:sst>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c29111e8a4527" /><Relationship Type="http://schemas.openxmlformats.org/officeDocument/2006/relationships/theme" Target="/xl/theme/theme1.xml" Id="R2dd7acca5e194d1f" /><Relationship Type="http://schemas.microsoft.com/office/2022/11/relationships/FeaturePropertyBag" Target="/xl/featurePropertyBag/featurePropertyBag.xml" Id="R3f76ed913fe44b47" /><Relationship Type="http://schemas.openxmlformats.org/officeDocument/2006/relationships/sharedStrings" Target="/xl/sharedStrings.xml" Id="R0f8fb568646a4a22" /><Relationship Type="http://schemas.openxmlformats.org/officeDocument/2006/relationships/worksheet" Target="/xl/worksheets/sheet1.xml" Id="Rc26bda5c01c14f6e" /><Relationship Type="http://schemas.openxmlformats.org/officeDocument/2006/relationships/worksheet" Target="/xl/worksheets/sheet2.xml" Id="Rcdb4f22e61c44097" /><Relationship Type="http://schemas.openxmlformats.org/officeDocument/2006/relationships/worksheet" Target="/xl/worksheets/sheet3.xml" Id="R82dd7ae1f561479f" /><Relationship Type="http://schemas.openxmlformats.org/officeDocument/2006/relationships/worksheet" Target="/xl/worksheets/sheet4.xml" Id="R369982b22ec440cd" /><Relationship Type="http://schemas.openxmlformats.org/officeDocument/2006/relationships/worksheet" Target="/xl/worksheets/sheet5.xml" Id="Raba2f166b0fc40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8" hidden="0" customWidth="1"/>
    <x:col min="6" max="6" width="18" hidden="0" customWidth="1"/>
  </x:cols>
  <x:sheetData>
    <x:row r="1" ht="15" hidden="0" customHeight="1">
      <x:c r="A1" s="40" t="str">
        <x:v>CHAN</x:v>
      </x:c>
      <x:c r="B1" s="41" t="n">
        <x:v>13</x:v>
      </x:c>
      <x:c r="C1" s="40"/>
      <x:c r="D1" s="47" t="str">
        <x:v>element of the type fluid</x:v>
      </x:c>
      <x:c r="E1" s="41" t="n">
        <x:v>1</x:v>
      </x:c>
      <x:c r="F1" s="4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  <x:c r="K1" t="n">
        <x:v>7</x:v>
      </x:c>
      <x:c r="L1" t="n">
        <x:v>8</x:v>
      </x:c>
      <x:c r="M1" t="n">
        <x:v>9</x:v>
      </x:c>
      <x:c r="N1" t="n">
        <x:v>10</x:v>
      </x:c>
      <x:c r="O1" t="n">
        <x:v>11</x:v>
      </x:c>
      <x:c r="P1" t="n">
        <x:v>12</x:v>
      </x:c>
      <x:c r="Q1" t="n">
        <x:v>13</x:v>
      </x:c>
    </x:row>
    <x:row r="2" ht="15" hidden="0" customHeight="1">
      <x:c r="A2" s="35"/>
      <x:c r="B2" s="34"/>
      <x:c r="C2" s="33"/>
      <x:c r="D2" s="36" t="str">
        <x:v>row used to get the correct number of channel objects in cell B1 as the sum of values in this row starting from cell D2</x:v>
      </x:c>
      <x:c r="E2" s="32" t="n">
        <x:v>1</x:v>
      </x:c>
      <x:c r="F2" s="3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CHAN_1</x:v>
      </x:c>
      <x:c r="F3" s="41" t="str">
        <x:v>CHAN_2</x:v>
      </x:c>
      <x:c r="G3" t="str">
        <x:v>CHAN_3</x:v>
      </x:c>
      <x:c r="H3" t="str">
        <x:v>CHAN_4</x:v>
      </x:c>
      <x:c r="I3" t="str">
        <x:v>CHAN_5</x:v>
      </x:c>
      <x:c r="J3" t="str">
        <x:v>CHAN_6</x:v>
      </x:c>
      <x:c r="K3" t="str">
        <x:v>CHAN_7</x:v>
      </x:c>
      <x:c r="L3" t="str">
        <x:v>CHAN_8</x:v>
      </x:c>
      <x:c r="M3" t="str">
        <x:v>CHAN_9</x:v>
      </x:c>
      <x:c r="N3" t="str">
        <x:v>CHAN_10</x:v>
      </x:c>
      <x:c r="O3" t="str">
        <x:v>CHAN_11</x:v>
      </x:c>
      <x:c r="P3" t="str">
        <x:v>CHAN_12</x:v>
      </x:c>
      <x:c r="Q3" t="str">
        <x:v>CHAN_13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5" t="n">
        <x:v>6.5e-7</x:v>
      </x:c>
      <x:c r="F4" s="45" t="n">
        <x:v>6.5e-7</x:v>
      </x:c>
      <x:c r="G4" t="n">
        <x:v>6.5e-7</x:v>
      </x:c>
      <x:c r="H4" t="n">
        <x:v>6.5e-7</x:v>
      </x:c>
      <x:c r="I4" t="n">
        <x:v>6.5e-7</x:v>
      </x:c>
      <x:c r="J4" t="n">
        <x:v>6.5e-7</x:v>
      </x:c>
      <x:c r="K4" t="n">
        <x:v>6.5e-7</x:v>
      </x:c>
      <x:c r="L4" t="n">
        <x:v>6.5e-7</x:v>
      </x:c>
      <x:c r="M4" t="n">
        <x:v>6.5e-7</x:v>
      </x:c>
      <x:c r="N4" t="n">
        <x:v>6.5e-7</x:v>
      </x:c>
      <x:c r="O4" t="n">
        <x:v>6.5e-7</x:v>
      </x:c>
      <x:c r="P4" t="n">
        <x:v>6.5e-7</x:v>
      </x:c>
      <x:c r="Q4" t="n">
        <x:f>0.00001963</x:f>
        <x:v>0.00001963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</x:v>
      </x:c>
      <x:c r="F5" s="4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</x:v>
      </x:c>
      <x:c r="F6" s="45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</x:row>
    <x:row r="7" ht="15" hidden="0" customHeight="1">
      <x:c r="A7" s="43" t="str">
        <x:v>FLUID_TYPE</x:v>
      </x:c>
      <x:c r="B7" s="44" t="str">
        <x:v>-</x:v>
      </x:c>
      <x:c r="C7" s="44" t="str">
        <x:v>string</x:v>
      </x:c>
      <x:c r="D7" s="48" t="str">
        <x:v>type of fluid</x:v>
      </x:c>
      <x:c r="E7" s="44" t="str">
        <x:v>Helium</x:v>
      </x:c>
      <x:c r="F7" s="44" t="str">
        <x:v>Helium</x:v>
      </x:c>
      <x:c r="G7" t="str">
        <x:v>Helium</x:v>
      </x:c>
      <x:c r="H7" t="str">
        <x:v>Helium</x:v>
      </x:c>
      <x:c r="I7" t="str">
        <x:v>Helium</x:v>
      </x:c>
      <x:c r="J7" t="str">
        <x:v>Helium</x:v>
      </x:c>
      <x:c r="K7" t="str">
        <x:v>Helium</x:v>
      </x:c>
      <x:c r="L7" t="str">
        <x:v>Helium</x:v>
      </x:c>
      <x:c r="M7" t="str">
        <x:v>Helium</x:v>
      </x:c>
      <x:c r="N7" t="str">
        <x:v>Helium</x:v>
      </x:c>
      <x:c r="O7" t="str">
        <x:v>Helium</x:v>
      </x:c>
      <x:c r="P7" t="str">
        <x:v>Helium</x:v>
      </x:c>
      <x:c r="Q7" t="str">
        <x:v>Helium</x:v>
      </x:c>
    </x:row>
    <x:row r="8" ht="15" hidden="0" customHeight="1">
      <x:c r="A8" s="43" t="str">
        <x:v>HYDIAMETER</x:v>
      </x:c>
      <x:c r="B8" s="44" t="str">
        <x:v>m</x:v>
      </x:c>
      <x:c r="C8" s="44" t="str">
        <x:v>float</x:v>
      </x:c>
      <x:c r="D8" s="48" t="str">
        <x:v>hydraulic diameter</x:v>
      </x:c>
      <x:c r="E8" s="46" t="n">
        <x:f>4*E4/0.00893</x:f>
        <x:v>0.0002911534154535274</x:v>
      </x:c>
      <x:c r="F8" s="46" t="n">
        <x:f>4*F4/0.00893</x:f>
        <x:v>0.0002911534154535274</x:v>
      </x:c>
      <x:c r="G8" t="n">
        <x:v>0.0002911534154535274</x:v>
      </x:c>
      <x:c r="H8" t="n">
        <x:v>0.0002911534154535274</x:v>
      </x:c>
      <x:c r="I8" t="n">
        <x:v>0.0002911534154535274</x:v>
      </x:c>
      <x:c r="J8" t="n">
        <x:v>0.0002911534154535274</x:v>
      </x:c>
      <x:c r="K8" t="n">
        <x:v>0.0002911534154535274</x:v>
      </x:c>
      <x:c r="L8" t="n">
        <x:f>4*L4/0.00893</x:f>
        <x:v>0.0002911534154535274</x:v>
      </x:c>
      <x:c r="M8" t="n">
        <x:v>0.0002911534154535274</x:v>
      </x:c>
      <x:c r="N8" t="n">
        <x:v>0.0002911534154535274</x:v>
      </x:c>
      <x:c r="O8" t="n">
        <x:v>0.0002911534154535274</x:v>
      </x:c>
      <x:c r="P8" t="n">
        <x:v>0.0002911534154535274</x:v>
      </x:c>
      <x:c r="Q8" t="n">
        <x:f>4*Q4/0.01571/2</x:f>
        <x:v>0.0024990451941438578</x:v>
      </x:c>
    </x:row>
    <x:row r="9" ht="15" hidden="0" customHeight="1">
      <x:c r="A9" s="43" t="str">
        <x:v>Roughness</x:v>
      </x:c>
      <x:c r="B9" s="44" t="str">
        <x:v>m</x:v>
      </x:c>
      <x:c r="C9" s="44" t="str">
        <x:v>float</x:v>
      </x:c>
      <x:c r="D9" s="48" t="str">
        <x:v>channel equivalent roughness</x:v>
      </x:c>
      <x:c r="E9" s="46" t="n">
        <x:v>0</x:v>
      </x:c>
      <x:c r="F9" s="46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</x:row>
    <x:row r="10" ht="15" hidden="0" customHeight="1">
      <x:c r="A10" s="43" t="str">
        <x:v>COSTETA</x:v>
      </x:c>
      <x:c r="B10" s="44" t="str">
        <x:v>-</x:v>
      </x:c>
      <x:c r="C10" s="44" t="str">
        <x:v>float</x:v>
      </x:c>
      <x:c r="D10" s="48" t="str">
        <x:v>angle wrt axis</x:v>
      </x:c>
      <x:c r="E10" s="44" t="n">
        <x:v>1</x:v>
      </x:c>
      <x:c r="F10" s="44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</x:row>
    <x:row r="11" ht="15" hidden="0" customHeight="1">
      <x:c r="A11" s="43" t="str">
        <x:v>VOID_FRACTION</x:v>
      </x:c>
      <x:c r="B11" s="44" t="str">
        <x:v>-</x:v>
      </x:c>
      <x:c r="C11" s="44" t="str">
        <x:v>float</x:v>
      </x:c>
      <x:c r="D11" s="48" t="str">
        <x:v>VOID FRACTION OF THE CHANNEL = VOID AREA / TOTAL AREA OF THE CHANNEL</x:v>
      </x:c>
      <x:c r="E11" s="44" t="n">
        <x:v>1</x:v>
      </x:c>
      <x:c r="F11" s="44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</x:row>
    <x:row r="12" ht="15" hidden="0" customHeight="1">
      <x:c r="A12" s="43" t="str">
        <x:v>IFRICTION</x:v>
      </x:c>
      <x:c r="B12" s="44" t="str">
        <x:v>-</x:v>
      </x:c>
      <x:c r="C12" s="44" t="str">
        <x:v>integer</x:v>
      </x:c>
      <x:c r="D12" s="48" t="str">
        <x:v>FLAG FRICTION MODEL</x:v>
      </x:c>
      <x:c r="E12" s="44" t="n">
        <x:v>124</x:v>
      </x:c>
      <x:c r="F12" s="44" t="n">
        <x:v>124</x:v>
      </x:c>
      <x:c r="G12" t="n">
        <x:v>124</x:v>
      </x:c>
      <x:c r="H12" t="n">
        <x:v>124</x:v>
      </x:c>
      <x:c r="I12" t="n">
        <x:v>124</x:v>
      </x:c>
      <x:c r="J12" t="n">
        <x:v>124</x:v>
      </x:c>
      <x:c r="K12" t="n">
        <x:v>124</x:v>
      </x:c>
      <x:c r="L12" t="n">
        <x:v>124</x:v>
      </x:c>
      <x:c r="M12" t="n">
        <x:v>124</x:v>
      </x:c>
      <x:c r="N12" t="n">
        <x:v>124</x:v>
      </x:c>
      <x:c r="O12" t="n">
        <x:v>124</x:v>
      </x:c>
      <x:c r="P12" t="n">
        <x:v>124</x:v>
      </x:c>
      <x:c r="Q12" t="n">
        <x:v>122</x:v>
      </x:c>
    </x:row>
    <x:row r="13" ht="15" hidden="0" customHeight="1">
      <x:c r="A13" s="43" t="str">
        <x:v>FRICTION_MULTIPLIER</x:v>
      </x:c>
      <x:c r="B13" s="44" t="str">
        <x:v>-</x:v>
      </x:c>
      <x:c r="C13" s="44" t="str">
        <x:v>float</x:v>
      </x:c>
      <x:c r="D13" s="48" t="str">
        <x:v>multiplier of the friction factor, defined for each channel (For the bundle,  </x:v>
      </x:c>
      <x:c r="E13" s="44" t="n">
        <x:v>0.02</x:v>
      </x:c>
      <x:c r="F13" s="44" t="n">
        <x:v>0.02</x:v>
      </x:c>
      <x:c r="G13" t="n">
        <x:v>0.02</x:v>
      </x:c>
      <x:c r="H13" t="n">
        <x:v>0.02</x:v>
      </x:c>
      <x:c r="I13" t="n">
        <x:v>0.02</x:v>
      </x:c>
      <x:c r="J13" t="n">
        <x:v>0.02</x:v>
      </x:c>
      <x:c r="K13" t="n">
        <x:v>0.02</x:v>
      </x:c>
      <x:c r="L13" t="n">
        <x:v>0.02</x:v>
      </x:c>
      <x:c r="M13" t="n">
        <x:v>0.02</x:v>
      </x:c>
      <x:c r="N13" t="n">
        <x:v>0.02</x:v>
      </x:c>
      <x:c r="O13" t="n">
        <x:v>0.02</x:v>
      </x:c>
      <x:c r="P13" t="n">
        <x:v>0.02</x:v>
      </x:c>
      <x:c r="Q13" t="n">
        <x:v>0.02</x:v>
      </x:c>
    </x:row>
    <x:row r="14" ht="15" hidden="0" customHeight="1">
      <x:c r="A14" s="43" t="str">
        <x:v>ISRECTANGULAR</x:v>
      </x:c>
      <x:c r="B14" s="44" t="str">
        <x:v>-</x:v>
      </x:c>
      <x:c r="C14" s="44" t="str">
        <x:v>boolean</x:v>
      </x:c>
      <x:c r="D14" s="48"/>
      <x:c r="E14" s="44" t="b">
        <x:f>FALSE</x:f>
        <x:v>0</x:v>
      </x:c>
      <x:c r="F14" s="44" t="b">
        <x:f>FALSE</x:f>
        <x:v>0</x:v>
      </x:c>
      <x:c r="G14" t="b">
        <x:f>FALSE</x:f>
        <x:v>0</x:v>
      </x:c>
      <x:c r="H14" t="b">
        <x:f>FALSE</x:f>
        <x:v>0</x:v>
      </x:c>
      <x:c r="I14" t="b">
        <x:f>FALSE</x:f>
        <x:v>0</x:v>
      </x:c>
      <x:c r="J14" t="b">
        <x:f>FALSE</x:f>
        <x:v>0</x:v>
      </x:c>
      <x:c r="K14" t="b">
        <x:f>FALSE</x:f>
        <x:v>0</x:v>
      </x:c>
      <x:c r="L14" t="b">
        <x:f>FALSE</x:f>
        <x:v>0</x:v>
      </x:c>
      <x:c r="M14" t="b">
        <x:f>FALSE</x:f>
        <x:v>0</x:v>
      </x:c>
      <x:c r="N14" t="b">
        <x:f>FALSE</x:f>
        <x:v>0</x:v>
      </x:c>
      <x:c r="O14" t="b">
        <x:f>FALSE</x:f>
        <x:v>0</x:v>
      </x:c>
      <x:c r="P14" t="b">
        <x:f>FALSE</x:f>
        <x:v>0</x:v>
      </x:c>
      <x:c r="Q14" t="b">
        <x:f>FALSE</x:f>
        <x:v>0</x:v>
      </x:c>
    </x:row>
    <x:row r="15" ht="15" hidden="0" customHeight="1">
      <x:c r="A15" s="43" t="str">
        <x:v>SIDE1</x:v>
      </x:c>
      <x:c r="B15" s="44" t="str">
        <x:v>m</x:v>
      </x:c>
      <x:c r="C15" s="44" t="str">
        <x:v>float</x:v>
      </x:c>
      <x:c r="D15" s="48"/>
      <x:c r="E15" s="45" t="n">
        <x:v>0</x:v>
      </x:c>
      <x:c r="F15" s="44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</x:row>
    <x:row r="16" ht="15" hidden="0" customHeight="1">
      <x:c r="A16" s="43" t="str">
        <x:v>SIDE2</x:v>
      </x:c>
      <x:c r="B16" s="44" t="str">
        <x:v>m</x:v>
      </x:c>
      <x:c r="C16" s="44" t="str">
        <x:v>float</x:v>
      </x:c>
      <x:c r="D16" s="48"/>
      <x:c r="E16" s="45" t="n">
        <x:v>0</x:v>
      </x:c>
      <x:c r="F16" s="44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</x:row>
    <x:row r="17" ht="15" hidden="0" customHeight="1">
      <x:c r="A17" s="43" t="str">
        <x:v>CHANNEL_TYPE</x:v>
      </x:c>
      <x:c r="B17" s="44" t="str">
        <x:v>-</x:v>
      </x:c>
      <x:c r="C17" s="44" t="str">
        <x:v>string</x:v>
      </x:c>
      <x:c r="D17" s="48" t="str">
        <x:v>string that identifies the type of the channel (hole, bundle)</x:v>
      </x:c>
      <x:c r="E17" s="44" t="str">
        <x:v>hole</x:v>
      </x:c>
      <x:c r="F17" s="44" t="str">
        <x:v>hole</x:v>
      </x:c>
      <x:c r="G17" t="str">
        <x:v>hole</x:v>
      </x:c>
      <x:c r="H17" t="str">
        <x:v>hole</x:v>
      </x:c>
      <x:c r="I17" t="str">
        <x:v>hole</x:v>
      </x:c>
      <x:c r="J17" t="str">
        <x:v>hole</x:v>
      </x:c>
      <x:c r="K17" t="str">
        <x:v>hole</x:v>
      </x:c>
      <x:c r="L17" t="str">
        <x:v>hole</x:v>
      </x:c>
      <x:c r="M17" t="str">
        <x:v>hole</x:v>
      </x:c>
      <x:c r="N17" t="str">
        <x:v>hole</x:v>
      </x:c>
      <x:c r="O17" t="str">
        <x:v>hole</x:v>
      </x:c>
      <x:c r="P17" t="str">
        <x:v>hole</x:v>
      </x:c>
      <x:c r="Q17" t="str">
        <x:v>hole</x:v>
      </x:c>
    </x:row>
    <x:row r="18" ht="15" hidden="0" customHeight="1">
      <x:c r="A18" s="43" t="str">
        <x:v>Flag_htc_steady_corr</x:v>
      </x:c>
      <x:c r="B18" s="44" t="str">
        <x:v>-</x:v>
      </x:c>
      <x:c r="C18" s="44" t="str">
        <x:v>integer</x:v>
      </x:c>
      <x:c r="D18" s="48" t="str">
        <x:v>flag to select the correlation used to evaluate the channel steady state heat transfer coefficient</x:v>
      </x:c>
      <x:c r="E18" s="44" t="n">
        <x:v>212</x:v>
      </x:c>
      <x:c r="F18" s="44" t="n">
        <x:v>212</x:v>
      </x:c>
      <x:c r="G18" t="n">
        <x:v>212</x:v>
      </x:c>
      <x:c r="H18" t="n">
        <x:v>212</x:v>
      </x:c>
      <x:c r="I18" t="n">
        <x:v>212</x:v>
      </x:c>
      <x:c r="J18" t="n">
        <x:v>212</x:v>
      </x:c>
      <x:c r="K18" t="n">
        <x:v>212</x:v>
      </x:c>
      <x:c r="L18" t="n">
        <x:v>212</x:v>
      </x:c>
      <x:c r="M18" t="n">
        <x:v>212</x:v>
      </x:c>
      <x:c r="N18" t="n">
        <x:v>212</x:v>
      </x:c>
      <x:c r="O18" t="n">
        <x:v>212</x:v>
      </x:c>
      <x:c r="P18" t="n">
        <x:v>212</x:v>
      </x:c>
      <x:c r="Q18" t="n">
        <x:v>1</x:v>
      </x:c>
    </x:row>
    <x:row r="19" ht="24" hidden="0" customHeight="1">
      <x:c r="A19" s="43" t="str">
        <x:v>Show_fig</x:v>
      </x:c>
      <x:c r="B19" s="44" t="str">
        <x:v>-</x:v>
      </x:c>
      <x:c r="C19" s="44" t="str">
        <x:v>boolean</x:v>
      </x:c>
      <x:c r="D19" s="48" t="str">
        <x:v>flag to show the real time plots of the maximum temperature and of the inlet and outlet mass flow rate of the channel. Possible values True, False; defaults to True. </x:v>
      </x:c>
      <x:c r="E19" s="63" t="b">
        <x:v>0</x:v>
      </x:c>
      <x:c r="F19" s="63" t="b">
        <x:v>0</x:v>
      </x:c>
      <x:c r="G19" s="49" t="b">
        <x:v>0</x:v>
      </x:c>
      <x:c r="H19" s="49" t="b">
        <x:v>0</x:v>
      </x:c>
      <x:c r="I19" s="49" t="b">
        <x:v>0</x:v>
      </x:c>
      <x:c r="J19" s="49" t="b">
        <x:v>0</x:v>
      </x:c>
      <x:c r="K19" s="49" t="b">
        <x:v>0</x:v>
      </x:c>
      <x:c r="L19" s="49" t="b">
        <x:v>0</x:v>
      </x:c>
      <x:c r="M19" s="49" t="b">
        <x:v>0</x:v>
      </x:c>
      <x:c r="N19" s="49" t="b">
        <x:v>0</x:v>
      </x:c>
      <x:c r="O19" s="49" t="b">
        <x:v>0</x:v>
      </x:c>
      <x:c r="P19" s="49" t="b">
        <x:v>0</x:v>
      </x:c>
      <x:c r="Q19" s="49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v>6</x:v>
      </x:c>
      <x:c r="C1" s="41"/>
      <x:c r="D1" s="47" t="s">
        <x:v>0</x:v>
      </x:c>
      <x:c r="E1" s="41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</x:row>
    <x:row r="2" ht="24" hidden="0" customHeight="1">
      <x:c r="A2" s="35"/>
      <x:c r="B2" s="34"/>
      <x:c r="C2" s="34"/>
      <x:c r="D2" s="36" t="s">
        <x:v>1</x:v>
      </x:c>
      <x:c r="E2" s="3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STACK_1</x:v>
      </x:c>
      <x:c r="F3" t="str">
        <x:v>STACK_2</x:v>
      </x:c>
      <x:c r="G3" t="str">
        <x:v>STACK_3</x:v>
      </x:c>
      <x:c r="H3" t="str">
        <x:v>STACK_4</x:v>
      </x:c>
      <x:c r="I3" t="str">
        <x:v>STACK_5</x:v>
      </x:c>
      <x:c r="J3" t="str">
        <x:v>STACK_6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0.0000128</x:v>
      </x:c>
      <x:c r="F4" t="n">
        <x:v>0.0000128</x:v>
      </x:c>
      <x:c r="G4" t="n">
        <x:v>0.0000128</x:v>
      </x:c>
      <x:c r="H4" t="n">
        <x:v>0.0000128</x:v>
      </x:c>
      <x:c r="I4" t="n">
        <x:v>0.0000128</x:v>
      </x:c>
      <x:c r="J4" t="n">
        <x:v>0.0000128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0.9699</x:v>
      </x:c>
      <x:c r="F7" t="n">
        <x:v>0.9699</x:v>
      </x:c>
      <x:c r="G7" t="n">
        <x:v>0.9699</x:v>
      </x:c>
      <x:c r="H7" t="n">
        <x:v>0.9699</x:v>
      </x:c>
      <x:c r="I7" t="n">
        <x:v>0.9699</x:v>
      </x:c>
      <x:c r="J7" t="n">
        <x:v>0.9699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20</x:v>
      </x:c>
      <x:c r="F8" t="n">
        <x:v>20</x:v>
      </x:c>
      <x:c r="G8" t="n">
        <x:v>20</x:v>
      </x:c>
      <x:c r="H8" t="n">
        <x:v>20</x:v>
      </x:c>
      <x:c r="I8" t="n">
        <x:v>20</x:v>
      </x:c>
      <x:c r="J8" t="n">
        <x:v>20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0.004</x:v>
      </x:c>
      <x:c r="F9" t="n">
        <x:v>0.004</x:v>
      </x:c>
      <x:c r="G9" t="n">
        <x:v>0.004</x:v>
      </x:c>
      <x:c r="H9" t="n">
        <x:v>0.004</x:v>
      </x:c>
      <x:c r="I9" t="n">
        <x:v>0.004</x:v>
      </x:c>
      <x:c r="J9" t="n">
        <x:v>0.004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0.00006708595387840672</x:v>
      </x:c>
      <x:c r="F10" t="n">
        <x:v>0.00006708595387840672</x:v>
      </x:c>
      <x:c r="G10" t="n">
        <x:v>0.00006708595387840672</x:v>
      </x:c>
      <x:c r="H10" t="n">
        <x:v>0.00006708595387840672</x:v>
      </x:c>
      <x:c r="I10" t="n">
        <x:v>0.00006708595387840672</x:v>
      </x:c>
      <x:c r="J10" t="n">
        <x:v>0.00006708595387840672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0.000006373165618448638</x:v>
      </x:c>
      <x:c r="F11" t="n">
        <x:v>0.000006373165618448638</x:v>
      </x:c>
      <x:c r="G11" t="n">
        <x:v>0.000006373165618448638</x:v>
      </x:c>
      <x:c r="H11" t="n">
        <x:v>0.000006373165618448638</x:v>
      </x:c>
      <x:c r="I11" t="n">
        <x:v>0.000006373165618448638</x:v>
      </x:c>
      <x:c r="J11" t="n">
        <x:v>0.000006373165618448638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0.0000026834381551362686</x:v>
      </x:c>
      <x:c r="F12" t="n">
        <x:v>0.0000026834381551362686</x:v>
      </x:c>
      <x:c r="G12" t="n">
        <x:v>0.0000026834381551362686</x:v>
      </x:c>
      <x:c r="H12" t="n">
        <x:v>0.0000026834381551362686</x:v>
      </x:c>
      <x:c r="I12" t="n">
        <x:v>0.0000026834381551362686</x:v>
      </x:c>
      <x:c r="J12" t="n">
        <x:v>0.0000026834381551362686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0.0000838574423480084</x:v>
      </x:c>
      <x:c r="F13" t="n">
        <x:v>0.0000838574423480084</x:v>
      </x:c>
      <x:c r="G13" t="n">
        <x:v>0.0000838574423480084</x:v>
      </x:c>
      <x:c r="H13" t="n">
        <x:v>0.0000838574423480084</x:v>
      </x:c>
      <x:c r="I13" t="n">
        <x:v>0.0000838574423480084</x:v>
      </x:c>
      <x:c r="J13" t="n">
        <x:v>0.0000838574423480084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  <x:c r="F15" t="n">
        <x:v>4</x:v>
      </x:c>
      <x:c r="G15" t="n">
        <x:v>4</x:v>
      </x:c>
      <x:c r="H15" t="n">
        <x:v>4</x:v>
      </x:c>
      <x:c r="I15" t="n">
        <x:v>4</x:v>
      </x:c>
      <x:c r="J15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  <x:c r="F16" t="str">
        <x:v>Cu</x:v>
      </x:c>
      <x:c r="G16" t="str">
        <x:v>Cu</x:v>
      </x:c>
      <x:c r="H16" t="str">
        <x:v>Cu</x:v>
      </x:c>
      <x:c r="I16" t="str">
        <x:v>Cu</x:v>
      </x:c>
      <x:c r="J1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  <x:c r="F17" t="str">
        <x:v>Ag</x:v>
      </x:c>
      <x:c r="G17" t="str">
        <x:v>Ag</x:v>
      </x:c>
      <x:c r="H17" t="str">
        <x:v>Ag</x:v>
      </x:c>
      <x:c r="I17" t="str">
        <x:v>Ag</x:v>
      </x:c>
      <x:c r="J17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  <x:c r="F18" t="str">
        <x:v>YBCO</x:v>
      </x:c>
      <x:c r="G18" t="str">
        <x:v>YBCO</x:v>
      </x:c>
      <x:c r="H18" t="str">
        <x:v>YBCO</x:v>
      </x:c>
      <x:c r="I18" t="str">
        <x:v>YBCO</x:v>
      </x:c>
      <x:c r="J18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  <x:c r="F19" t="str">
        <x:v>hc276</x:v>
      </x:c>
      <x:c r="G19" t="str">
        <x:v>hc276</x:v>
      </x:c>
      <x:c r="H19" t="str">
        <x:v>hc276</x:v>
      </x:c>
      <x:c r="I19" t="str">
        <x:v>hc276</x:v>
      </x:c>
      <x:c r="J19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  <x:c r="F20" t="str">
        <x:v>none</x:v>
      </x:c>
      <x:c r="G20" t="str">
        <x:v>none</x:v>
      </x:c>
      <x:c r="H20" t="str">
        <x:v>none</x:v>
      </x:c>
      <x:c r="I20" t="str">
        <x:v>none</x:v>
      </x:c>
      <x:c r="J20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100</x:v>
      </x:c>
      <x:c r="F21" t="n">
        <x:v>101</x:v>
      </x:c>
      <x:c r="G21" t="n">
        <x:v>102</x:v>
      </x:c>
      <x:c r="H21" t="n">
        <x:v>103</x:v>
      </x:c>
      <x:c r="I21" t="n">
        <x:v>104</x:v>
      </x:c>
      <x:c r="J21" t="n">
        <x:v>105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20</x:v>
      </x:c>
      <x:c r="F22" t="n">
        <x:v>20</x:v>
      </x:c>
      <x:c r="G22" t="n">
        <x:v>20</x:v>
      </x:c>
      <x:c r="H22" t="n">
        <x:v>20</x:v>
      </x:c>
      <x:c r="I22" t="n">
        <x:v>20</x:v>
      </x:c>
      <x:c r="J22" t="n">
        <x:v>20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182962000</x:v>
      </x:c>
      <x:c r="F24" t="n">
        <x:v>182962000</x:v>
      </x:c>
      <x:c r="G24" t="n">
        <x:v>182962000</x:v>
      </x:c>
      <x:c r="H24" t="n">
        <x:v>182962000</x:v>
      </x:c>
      <x:c r="I24" t="n">
        <x:v>182962000</x:v>
      </x:c>
      <x:c r="J24" t="n">
        <x:v>182962000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132.5</x:v>
      </x:c>
      <x:c r="F25" t="n">
        <x:v>132.5</x:v>
      </x:c>
      <x:c r="G25" t="n">
        <x:v>132.5</x:v>
      </x:c>
      <x:c r="H25" t="n">
        <x:v>132.5</x:v>
      </x:c>
      <x:c r="I25" t="n">
        <x:v>132.5</x:v>
      </x:c>
      <x:c r="J25" t="n">
        <x:v>132.5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90</x:v>
      </x:c>
      <x:c r="F26" t="n">
        <x:v>90</x:v>
      </x:c>
      <x:c r="G26" t="n">
        <x:v>90</x:v>
      </x:c>
      <x:c r="H26" t="n">
        <x:v>90</x:v>
      </x:c>
      <x:c r="I26" t="n">
        <x:v>90</x:v>
      </x:c>
      <x:c r="J26" t="n">
        <x:v>90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5</x:v>
      </x:c>
      <x:c r="F27" t="n">
        <x:v>5</x:v>
      </x:c>
      <x:c r="G27" t="n">
        <x:v>5</x:v>
      </x:c>
      <x:c r="H27" t="n">
        <x:v>5</x:v>
      </x:c>
      <x:c r="I27" t="n">
        <x:v>5</x:v>
      </x:c>
      <x:c r="J27" t="n">
        <x:v>5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0.0001</x:v>
      </x:c>
      <x:c r="F28" t="n">
        <x:v>0.0001</x:v>
      </x:c>
      <x:c r="G28" t="n">
        <x:v>0.0001</x:v>
      </x:c>
      <x:c r="H28" t="n">
        <x:v>0.0001</x:v>
      </x:c>
      <x:c r="I28" t="n">
        <x:v>0.0001</x:v>
      </x:c>
      <x:c r="J28" t="n">
        <x:v>0.0001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  <x:c r="F29" s="49" t="b">
        <x:v>0</x:v>
      </x:c>
      <x:c r="G29" s="49" t="b">
        <x:v>0</x:v>
      </x:c>
      <x:c r="H29" s="49" t="b">
        <x:v>0</x:v>
      </x:c>
      <x:c r="I29" s="49" t="b">
        <x:v>0</x:v>
      </x:c>
      <x:c r="J29" s="4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v>0</x:v>
      </x:c>
      <x:c r="C1" s="41"/>
      <x:c r="D1" s="47" t="s">
        <x:v>2</x:v>
      </x:c>
      <x:c r="E1" s="41" t="n">
        <x:v>0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STR_MIX_0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 t="n">
        <x:v>0.000753951765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0.9699</x:v>
      </x:c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 t="n">
        <x:v>1</x:v>
      </x:c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58" t="n">
        <x:v>2.0846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 t="n">
        <x:v>2</x:v>
      </x:c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59" t="n">
        <x:v>900</x:v>
      </x:c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44" t="n">
        <x:v>0.000822</x:v>
      </x:c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45" t="n">
        <x:v>522</x:v>
      </x:c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45" t="n">
        <x:v>0.000821</x:v>
      </x:c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 t="str">
        <x:v>Cu</x:v>
      </x:c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44" t="n">
        <x:v>197.71</x:v>
      </x:c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 t="str">
        <x:v>Nb3Sn</x:v>
      </x:c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 t="n">
        <x:v>0</x:v>
      </x:c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 t="n">
        <x:v>121508000000</x:v>
      </x:c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 t="n">
        <x:v>32.35</x:v>
      </x:c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 t="n">
        <x:v>16.22</x:v>
      </x:c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43" t="n">
        <x:v>5</x:v>
      </x:c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 t="n">
        <x:v>0.00001</x:v>
      </x:c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5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v>18</x:v>
      </x:c>
      <x:c r="C1" s="41"/>
      <x:c r="D1" s="47" t="str">
        <x:v>element of the type "Cu strands"</x:v>
      </x:c>
      <x:c r="E1" s="41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  <x:c r="K1" t="n">
        <x:v>7</x:v>
      </x:c>
      <x:c r="L1" t="n">
        <x:v>8</x:v>
      </x:c>
      <x:c r="M1" t="n">
        <x:v>9</x:v>
      </x:c>
      <x:c r="N1" t="n">
        <x:v>10</x:v>
      </x:c>
      <x:c r="O1" t="n">
        <x:v>11</x:v>
      </x:c>
      <x:c r="P1" t="n">
        <x:v>12</x:v>
      </x:c>
      <x:c r="Q1" t="n">
        <x:v>13</x:v>
      </x:c>
      <x:c r="R1" t="n">
        <x:v>14</x:v>
      </x:c>
      <x:c r="S1" t="n">
        <x:v>15</x:v>
      </x:c>
      <x:c r="T1" t="n">
        <x:v>16</x:v>
      </x:c>
      <x:c r="U1" t="n">
        <x:v>17</x:v>
      </x:c>
      <x:c r="V1" t="n">
        <x:v>18</x:v>
      </x:c>
    </x:row>
    <x:row r="2" ht="24" hidden="0" customHeight="1">
      <x:c r="A2" s="35"/>
      <x:c r="B2" s="34"/>
      <x:c r="C2" s="34"/>
      <x:c r="D2" s="36" t="str">
        <x:v>row used to get the correct number of copper strand objects in cell B1 as the sum of values in this row starting from cell D2</x:v>
      </x:c>
      <x:c r="E2" s="3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STR_STAB_1</x:v>
      </x:c>
      <x:c r="F3" t="str">
        <x:v>STR_STAB_2</x:v>
      </x:c>
      <x:c r="G3" t="str">
        <x:v>STR_STAB_3</x:v>
      </x:c>
      <x:c r="H3" t="str">
        <x:v>STR_STAB_4</x:v>
      </x:c>
      <x:c r="I3" t="str">
        <x:v>STR_STAB_5</x:v>
      </x:c>
      <x:c r="J3" t="str">
        <x:v>STR_STAB_6</x:v>
      </x:c>
      <x:c r="K3" t="str">
        <x:v>STR_STAB_7</x:v>
      </x:c>
      <x:c r="L3" t="str">
        <x:v>STR_STAB_8</x:v>
      </x:c>
      <x:c r="M3" t="str">
        <x:v>STR_STAB_9</x:v>
      </x:c>
      <x:c r="N3" t="str">
        <x:v>STR_STAB_10</x:v>
      </x:c>
      <x:c r="O3" t="str">
        <x:v>STR_STAB_11</x:v>
      </x:c>
      <x:c r="P3" t="str">
        <x:v>STR_STAB_12</x:v>
      </x:c>
      <x:c r="Q3" t="str">
        <x:v>STR_STAB_13</x:v>
      </x:c>
      <x:c r="R3" t="str">
        <x:v>STR_STAB_14</x:v>
      </x:c>
      <x:c r="S3" t="str">
        <x:v>STR_STAB_15</x:v>
      </x:c>
      <x:c r="T3" t="str">
        <x:v>STR_STAB_16</x:v>
      </x:c>
      <x:c r="U3" t="str">
        <x:v>STR_STAB_17</x:v>
      </x:c>
      <x:c r="V3" t="str">
        <x:v>STR_STAB_18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f>0.000008608</x:f>
        <x:v>0.000008608</x:v>
      </x:c>
      <x:c r="F4" t="n">
        <x:f>0.0000113187</x:f>
        <x:v>0.0000113187</x:v>
      </x:c>
      <x:c r="G4" t="n">
        <x:f>0.0000210568</x:f>
        <x:v>0.0000210568</x:v>
      </x:c>
      <x:c r="H4" t="n">
        <x:f>0.000008608</x:f>
        <x:v>0.000008608</x:v>
      </x:c>
      <x:c r="I4" t="n">
        <x:f>0.0000113187</x:f>
        <x:v>0.0000113187</x:v>
      </x:c>
      <x:c r="J4" t="n">
        <x:f>0.0000210568</x:f>
        <x:v>0.0000210568</x:v>
      </x:c>
      <x:c r="K4" t="n">
        <x:f>0.000008608</x:f>
        <x:v>0.000008608</x:v>
      </x:c>
      <x:c r="L4" t="n">
        <x:f>0.0000113187</x:f>
        <x:v>0.0000113187</x:v>
      </x:c>
      <x:c r="M4" t="n">
        <x:f>0.0000210568</x:f>
        <x:v>0.0000210568</x:v>
      </x:c>
      <x:c r="N4" t="n">
        <x:f>0.000008608</x:f>
        <x:v>0.000008608</x:v>
      </x:c>
      <x:c r="O4" t="n">
        <x:f>0.0000113187</x:f>
        <x:v>0.0000113187</x:v>
      </x:c>
      <x:c r="P4" t="n">
        <x:f>0.0000210568</x:f>
        <x:v>0.0000210568</x:v>
      </x:c>
      <x:c r="Q4" t="n">
        <x:f>0.000008608</x:f>
        <x:v>0.000008608</x:v>
      </x:c>
      <x:c r="R4" t="n">
        <x:f>0.0000113187</x:f>
        <x:v>0.0000113187</x:v>
      </x:c>
      <x:c r="S4" t="n">
        <x:f>0.0000210568</x:f>
        <x:v>0.0000210568</x:v>
      </x:c>
      <x:c r="T4" t="n">
        <x:f>0.000008608</x:f>
        <x:v>0.000008608</x:v>
      </x:c>
      <x:c r="U4" t="n">
        <x:f>0.0000113187</x:f>
        <x:v>0.0000113187</x:v>
      </x:c>
      <x:c r="V4" t="n">
        <x:f>0.0000210568</x:f>
        <x:v>0.0000210568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0.9699</x:v>
      </x:c>
      <x:c r="F7" t="n">
        <x:v>0.9699</x:v>
      </x:c>
      <x:c r="G7" t="n">
        <x:v>0.9699</x:v>
      </x:c>
      <x:c r="H7" t="n">
        <x:v>0.9699</x:v>
      </x:c>
      <x:c r="I7" t="n">
        <x:v>0.9699</x:v>
      </x:c>
      <x:c r="J7" t="n">
        <x:v>0.9699</x:v>
      </x:c>
      <x:c r="K7" t="n">
        <x:v>0.9699</x:v>
      </x:c>
      <x:c r="L7" t="n">
        <x:v>0.9699</x:v>
      </x:c>
      <x:c r="M7" t="n">
        <x:v>0.9699</x:v>
      </x:c>
      <x:c r="N7" t="n">
        <x:v>0.9699</x:v>
      </x:c>
      <x:c r="O7" t="n">
        <x:v>0.9699</x:v>
      </x:c>
      <x:c r="P7" t="n">
        <x:v>0.9699</x:v>
      </x:c>
      <x:c r="Q7" t="n">
        <x:v>0.9699</x:v>
      </x:c>
      <x:c r="R7" t="n">
        <x:v>0.9699</x:v>
      </x:c>
      <x:c r="S7" t="n">
        <x:v>0.9699</x:v>
      </x:c>
      <x:c r="T7" t="n">
        <x:v>0.9699</x:v>
      </x:c>
      <x:c r="U7" t="n">
        <x:v>0.9699</x:v>
      </x:c>
      <x:c r="V7" t="n">
        <x:v>0.9699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Al</x:v>
      </x:c>
      <x:c r="F8" t="str">
        <x:v>Al</x:v>
      </x:c>
      <x:c r="G8" t="str">
        <x:v>Al</x:v>
      </x:c>
      <x:c r="H8" t="str">
        <x:v>Al</x:v>
      </x:c>
      <x:c r="I8" t="str">
        <x:v>Al</x:v>
      </x:c>
      <x:c r="J8" t="str">
        <x:v>Al</x:v>
      </x:c>
      <x:c r="K8" t="str">
        <x:v>Al</x:v>
      </x:c>
      <x:c r="L8" t="str">
        <x:v>Al</x:v>
      </x:c>
      <x:c r="M8" t="str">
        <x:v>Al</x:v>
      </x:c>
      <x:c r="N8" t="str">
        <x:v>Al</x:v>
      </x:c>
      <x:c r="O8" t="str">
        <x:v>Al</x:v>
      </x:c>
      <x:c r="P8" t="str">
        <x:v>Al</x:v>
      </x:c>
      <x:c r="Q8" t="str">
        <x:v>Al</x:v>
      </x:c>
      <x:c r="R8" t="str">
        <x:v>Al</x:v>
      </x:c>
      <x:c r="S8" t="str">
        <x:v>Al</x:v>
      </x:c>
      <x:c r="T8" t="str">
        <x:v>Al</x:v>
      </x:c>
      <x:c r="U8" t="str">
        <x:v>Al</x:v>
      </x:c>
      <x:c r="V8" t="str">
        <x:v>Al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100</x:v>
      </x:c>
      <x:c r="F9" t="n">
        <x:v>100</x:v>
      </x:c>
      <x:c r="G9" t="n">
        <x:v>100</x:v>
      </x:c>
      <x:c r="H9" t="n">
        <x:v>100</x:v>
      </x:c>
      <x:c r="I9" t="n">
        <x:v>100</x:v>
      </x:c>
      <x:c r="J9" t="n">
        <x:v>100</x:v>
      </x:c>
      <x:c r="K9" t="n">
        <x:v>100</x:v>
      </x:c>
      <x:c r="L9" t="n">
        <x:v>100</x:v>
      </x:c>
      <x:c r="M9" t="n">
        <x:v>100</x:v>
      </x:c>
      <x:c r="N9" t="n">
        <x:v>100</x:v>
      </x:c>
      <x:c r="O9" t="n">
        <x:v>100</x:v>
      </x:c>
      <x:c r="P9" t="n">
        <x:v>100</x:v>
      </x:c>
      <x:c r="Q9" t="n">
        <x:v>100</x:v>
      </x:c>
      <x:c r="R9" t="n">
        <x:v>100</x:v>
      </x:c>
      <x:c r="S9" t="n">
        <x:v>100</x:v>
      </x:c>
      <x:c r="T9" t="n">
        <x:v>100</x:v>
      </x:c>
      <x:c r="U9" t="n">
        <x:v>100</x:v>
      </x:c>
      <x:c r="V9" t="n">
        <x:v>100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</x:v>
      </x:c>
      <x:c r="E10" s="63" t="b">
        <x:v>0</x:v>
      </x:c>
      <x:c r="F10" s="49" t="b">
        <x:v>0</x:v>
      </x:c>
      <x:c r="G10" s="49" t="b">
        <x:v>0</x:v>
      </x:c>
      <x:c r="H10" s="49" t="b">
        <x:v>0</x:v>
      </x:c>
      <x:c r="I10" s="49" t="b">
        <x:v>0</x:v>
      </x:c>
      <x:c r="J10" s="49" t="b">
        <x:v>0</x:v>
      </x:c>
      <x:c r="K10" s="49" t="b">
        <x:v>0</x:v>
      </x:c>
      <x:c r="L10" s="49" t="b">
        <x:v>0</x:v>
      </x:c>
      <x:c r="M10" s="49" t="b">
        <x:v>0</x:v>
      </x:c>
      <x:c r="N10" s="49" t="b">
        <x:v>0</x:v>
      </x:c>
      <x:c r="O10" s="49" t="b">
        <x:v>0</x:v>
      </x:c>
      <x:c r="P10" s="49" t="b">
        <x:v>0</x:v>
      </x:c>
      <x:c r="Q10" s="49" t="b">
        <x:v>0</x:v>
      </x:c>
      <x:c r="R10" s="49" t="b">
        <x:v>0</x:v>
      </x:c>
      <x:c r="S10" s="49" t="b">
        <x:v>0</x:v>
      </x:c>
      <x:c r="T10" s="49" t="b">
        <x:v>0</x:v>
      </x:c>
      <x:c r="U10" s="49" t="b">
        <x:v>0</x:v>
      </x:c>
      <x:c r="V10" s="49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Z_JACKET</x:v>
      </x:c>
      <x:c r="B1" s="41" t="n">
        <x:v>1</x:v>
      </x:c>
      <x:c r="C1" s="41"/>
      <x:c r="D1" s="47" t="str">
        <x:v>element of the type "jacket"</x:v>
      </x:c>
      <x:c r="E1" s="41" t="n">
        <x:v>1</x:v>
      </x:c>
    </x:row>
    <x:row r="2" ht="15" hidden="0" customHeight="1">
      <x:c r="A2" s="35"/>
      <x:c r="B2" s="34"/>
      <x:c r="C2" s="34"/>
      <x:c r="D2" s="36" t="str">
        <x:v>row used to get the correct number of jacket objects in cell B1 as the sum of values in this row starting from cell D2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Z_JACKET_1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f>0.00011074+0.00000483*6</x:f>
        <x:v>0.00013972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f>0.06912 - 0.00402*6+(0.01022-0.00402)*6</x:f>
        <x:v>0.0822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f>0.07854</x:f>
        <x:v>0.07854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materials making up the jacket</x:v>
      </x:c>
      <x:c r="E10" s="58" t="n">
        <x:v>1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ss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none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100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whole_enclosure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1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</x:v>
      </x:c>
      <x:c r="E17" s="53" t="b">
        <x:v>0</x:v>
      </x:c>
    </x:row>
  </x:sheetData>
  <x:pageMargins left="0.7" right="0.7" top="0.75" bottom="0.75" header="0.3" footer="0.3"/>
</x:worksheet>
</file>