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.Placido\3D Objects\OPENSC2\TDD_template_v3.7.2\"/>
    </mc:Choice>
  </mc:AlternateContent>
  <xr:revisionPtr revIDLastSave="0" documentId="13_ncr:1_{E9E74D34-0065-4B2F-95D1-78F96F3428EB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CHAN" sheetId="4" r:id="rId1"/>
    <sheet name="STACK" sheetId="5" r:id="rId2"/>
    <sheet name="STR_MIX" sheetId="3" r:id="rId3"/>
    <sheet name="STR_STAB" sheetId="6" r:id="rId4"/>
    <sheet name="Z_JACKET" sheetId="2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" i="2" l="1"/>
  <c r="E1" i="3"/>
  <c r="E1" i="4"/>
  <c r="E1" i="5" l="1"/>
  <c r="A1" i="5" l="1"/>
  <c r="A1" i="2" l="1"/>
  <c r="E1" i="6"/>
  <c r="A1" i="6"/>
  <c r="A1" i="3"/>
  <c r="A1" i="4"/>
  <c r="B3" i="4"/>
  <c r="C3" i="4"/>
  <c r="D3" i="4"/>
  <c r="A3" i="4"/>
  <c r="B3" i="2" l="1"/>
  <c r="C3" i="2"/>
  <c r="D3" i="6"/>
  <c r="A3" i="6"/>
  <c r="D3" i="3" l="1"/>
  <c r="B3" i="6"/>
  <c r="A3" i="3"/>
  <c r="C3" i="5"/>
  <c r="C3" i="3"/>
  <c r="B3" i="3"/>
  <c r="C3" i="6"/>
  <c r="A3" i="5"/>
  <c r="D3" i="5"/>
  <c r="B3" i="5"/>
  <c r="A3" i="2"/>
  <c r="D3" i="2"/>
  <c r="E3" i="4"/>
  <c r="E2" i="6" l="1"/>
  <c r="B1" i="6" s="1"/>
  <c r="E2" i="3"/>
  <c r="B1" i="3" s="1"/>
  <c r="E2" i="5"/>
  <c r="B1" i="5" s="1"/>
  <c r="E2" i="2"/>
  <c r="B1" i="2" s="1"/>
  <c r="E2" i="4"/>
  <c r="E3" i="6"/>
  <c r="E3" i="3"/>
  <c r="E3" i="5"/>
  <c r="E3" i="2"/>
  <c r="B1" i="4" l="1"/>
</calcChain>
</file>

<file path=xl/sharedStrings.xml><?xml version="1.0" encoding="utf-8"?>
<sst xmlns="http://schemas.openxmlformats.org/spreadsheetml/2006/main" count="482" uniqueCount="110">
  <si>
    <t>IBIFUN</t>
  </si>
  <si>
    <t>T</t>
  </si>
  <si>
    <t>IALPHAB</t>
  </si>
  <si>
    <t>IEPS</t>
  </si>
  <si>
    <t>EPS</t>
  </si>
  <si>
    <t>Q0</t>
  </si>
  <si>
    <t>m</t>
  </si>
  <si>
    <t>W/m</t>
  </si>
  <si>
    <t>s</t>
  </si>
  <si>
    <t>INTIAL</t>
  </si>
  <si>
    <t>TEMINL</t>
  </si>
  <si>
    <t>TEMOUT</t>
  </si>
  <si>
    <t>PREINL</t>
  </si>
  <si>
    <t>PREOUT</t>
  </si>
  <si>
    <t>K</t>
  </si>
  <si>
    <t>Pa</t>
  </si>
  <si>
    <t>TEMINI</t>
  </si>
  <si>
    <t>kg/s</t>
  </si>
  <si>
    <t>MDTIN</t>
  </si>
  <si>
    <t>BISS</t>
  </si>
  <si>
    <t>BOSS</t>
  </si>
  <si>
    <t>BITR</t>
  </si>
  <si>
    <t>BOTR</t>
  </si>
  <si>
    <t>fixAlphaBvalue</t>
  </si>
  <si>
    <t>QJFRACT</t>
  </si>
  <si>
    <t>integer</t>
  </si>
  <si>
    <t>float</t>
  </si>
  <si>
    <t>-</t>
  </si>
  <si>
    <t>PREINI</t>
  </si>
  <si>
    <t>row used to get the correct number of channel objects in cell B1 as the sum of values in this row starting from cell D2</t>
  </si>
  <si>
    <t>row used to get the correct number of copper strand objects in cell B1 as the sum of values in this row starting from cell D2</t>
  </si>
  <si>
    <t>row used to get the correct number of mixed copper-superconductor strand objects in cell B1 as the sum of values in this row starting from cell D2</t>
  </si>
  <si>
    <t>row used to get the correct number of superconductor strand objects in cell B1 as the sum of values in this row starting from cell D2</t>
  </si>
  <si>
    <t>row used to get the correct number of jacket objects in cell B1 as the sum of values in this row starting from cell D2</t>
  </si>
  <si>
    <t>IQFUN</t>
  </si>
  <si>
    <t>XQBEG</t>
  </si>
  <si>
    <t>XQEND</t>
  </si>
  <si>
    <t>TQBEG</t>
  </si>
  <si>
    <t>TQEND</t>
  </si>
  <si>
    <t>element of the type fluid</t>
  </si>
  <si>
    <t>element of the type "SC+Cu strands"</t>
  </si>
  <si>
    <t>flag to define the magnetic field gradient along the strand: 0 = no gradient, -1 = read from file "alphab.dat"</t>
  </si>
  <si>
    <t>flag to define strain along the strand: 0 = no strain, 1 = constant strain , 2 = constant strain (from 'vardata' module); -1 read from file "strain.dat"</t>
  </si>
  <si>
    <t>value of the strain along the strand if IEPS = 1</t>
  </si>
  <si>
    <t>starting point of the heated zone</t>
  </si>
  <si>
    <t>end point of the heated zone</t>
  </si>
  <si>
    <t>power density in each strand</t>
  </si>
  <si>
    <t>heating start time</t>
  </si>
  <si>
    <t>heating end time</t>
  </si>
  <si>
    <t>power fraction of the joint joule heating deposited directly into the strand (the fraction not into the strand will be put in the jacket)</t>
  </si>
  <si>
    <t>element of the type "Cu strands"</t>
  </si>
  <si>
    <t>element of the type "jacket"</t>
  </si>
  <si>
    <t>power density in each jacket</t>
  </si>
  <si>
    <t>inlet temperature</t>
  </si>
  <si>
    <t>outlet temperature</t>
  </si>
  <si>
    <t>initial temperature</t>
  </si>
  <si>
    <t>inlet pressure</t>
  </si>
  <si>
    <t>outlet pressure</t>
  </si>
  <si>
    <t>initial pressure</t>
  </si>
  <si>
    <t xml:space="preserve">inlet mass flow rate </t>
  </si>
  <si>
    <t>flag to define how to initialize STR_MIX temperature initial spatial distribution: 0 = initialization with channel temperature (only if there is thermal contact from CHAN and STR_MIX); 1 = linear spatial distribution with data from below; -1 data from external file</t>
  </si>
  <si>
    <t>Inlet STR_MIX temperature</t>
  </si>
  <si>
    <t>Outlet STR_MIX temperature</t>
  </si>
  <si>
    <t>flag to define how to initialize Z_JACKET temperature initial spatial distribution: 0 = initialization with channel temperature (only if there is thermal contact from CHAN and Z_JACKET); 1 = linear spatial distribution with data from below; -1 data from external file</t>
  </si>
  <si>
    <t>Inlet Z_JACKET temperature</t>
  </si>
  <si>
    <t>Outlet Z_JACKET temperature</t>
  </si>
  <si>
    <t>B_field_units</t>
  </si>
  <si>
    <t>string</t>
  </si>
  <si>
    <t>Unit of the quantity read from file if IBIFUN = -1: T or T/A</t>
  </si>
  <si>
    <t>FLOWDIR</t>
  </si>
  <si>
    <t xml:space="preserve">flag to define the flow direction. Possible values: forward (inlet at x  = 0 and outlet at x = L); backward (inlet at x = L and outlet at x = 0). Defaults to forward. </t>
  </si>
  <si>
    <t>IOP_INTERPOLATION</t>
  </si>
  <si>
    <t>Flag to specify the kind of interpolator for the magnetic field data, if IBFUN = -1. Possible values: linear = liear interpolation; cubic = use spline function of third order.</t>
  </si>
  <si>
    <t>B_INTERPOLATION</t>
  </si>
  <si>
    <t>flag to define the magnetic field along the strand (0 = constant or linear in space according to the values assignet to BISS and BOSS, -1 = read from file)</t>
  </si>
  <si>
    <t>magnetic field value at x = 0 m, constant in time. Used if IBFUN = 0.</t>
  </si>
  <si>
    <t>magnetic field value at x = L m, constant in time. Used if IBFUN = 0.</t>
  </si>
  <si>
    <t>ALPHAB_INTERPOLATION</t>
  </si>
  <si>
    <t>Flag to specify the kind of interpolator for the magnetic field gradient data, if IALPHAB = -1. Possible values: linear = liear interpolation; cubic = use spline function of third order.</t>
  </si>
  <si>
    <t>flag for the heating along the strand: 0 = no heating; 1 = square wave in time and space, with values from below; -1 = values from auxiliary file</t>
  </si>
  <si>
    <t>Q_INTERPOLATION</t>
  </si>
  <si>
    <t>Flag to specify the kind of interpolator for the heat data, if IQFUN = -1. Possible values: linear = liear interpolation; cubic = use spline function of third order.</t>
  </si>
  <si>
    <t>TCS_EVALUATION</t>
  </si>
  <si>
    <t>bool</t>
  </si>
  <si>
    <t>Flag to decide if the current sharing temperature should be evaluated at each time steps or not (improve speed). Possible values: False = evaluate the current sharing temperature only at the initialization and at the end of the simulation; True = evaluate the current sharing temperature at each time steps (affects computaion time). Defaults to False.</t>
  </si>
  <si>
    <t>EPS_INTERPOLATION</t>
  </si>
  <si>
    <t>Flag to specify the kind of interpolator for the strain data, if IEPS = -1. Possible values: linear = liear interpolation; cubic = use spline function of third order.</t>
  </si>
  <si>
    <t>MDTOUT</t>
  </si>
  <si>
    <t xml:space="preserve">outlet mass flow rate </t>
  </si>
  <si>
    <t>IOP_MODE</t>
  </si>
  <si>
    <t>Flag to define how the current is defined: 0 = constant; -1 = read from file (only if I0_OP_MODE = -1 in sheet CONDUCTOR_input of input file conductor_definition.xlsx; none = no current for the object (typically used for the jacket components since at the time being it is assumed that they do not carry a current).</t>
  </si>
  <si>
    <t>FIX_POTENTIAL_FLAG</t>
  </si>
  <si>
    <t>Flag to allow user to specify the potential value in some axial location of the conductor. Possible values: 1 = user can assign the position and the value of the potential; 0 = user can not assign these values. Defaults to 0</t>
  </si>
  <si>
    <t>FIX_POTENTIAL_NUMBER</t>
  </si>
  <si>
    <t>The number of potential values to be assigned, if FIX_POTENTIAL_FLAG is True.</t>
  </si>
  <si>
    <t>FIX_POTENTIAL_COORDINATE</t>
  </si>
  <si>
    <t>List of axial coordinate at which assing the fix potential value, separated by a comma, if FIX_POTENTIAL_FLAG is True. Ex, if at z = 0.5m z = 1.0m and z = 1.5m user wants to fix the potential value, write 0.5,1.0,1.5.</t>
  </si>
  <si>
    <t>FIX_POTENTIAL_VALUE</t>
  </si>
  <si>
    <t>V</t>
  </si>
  <si>
    <t>List of fix potential value the user wants to assig, separated by a comma, if FIX_POTENTIAL_FLAG is True. Ex, if user wants to assign three potential values, write: 0.0,2.0,4.0.</t>
  </si>
  <si>
    <t>flag to define how to initialize STACK temperature initial spatial distribution: 0 = initialization with channel temperature (only if there is thermal contact from CHAN and STACK); 1 = linear spatial distribution with data from below; -1 data from external file</t>
  </si>
  <si>
    <t>Inlet STACK temperature</t>
  </si>
  <si>
    <t>Outlet STACK temperature</t>
  </si>
  <si>
    <t>element of the type "stack"</t>
  </si>
  <si>
    <t>flag to define how to initialize STR_STAB temperature initial spatial distribution: 0 = initialization with channel temperature (only if there is thermal contact from CHAN and STR_STAB); 1 = linear spatial distribution with data from below; -1 data from external file</t>
  </si>
  <si>
    <t>Inlet STR_STAB temperature</t>
  </si>
  <si>
    <t>Outlet STR_STAB temperature</t>
  </si>
  <si>
    <t>Flag to specify the kind of interpolator for the operating current data, if IOP_MODE = -1. Possible values: linear = liear interpolation; cubic = use spline function of third order.</t>
  </si>
  <si>
    <t>Flag to specify the kind of interpolator for the magnetic field data, if IOP_MODE = -1. Possible values: linear = liear interpolation; cubic = use spline function of third order.</t>
  </si>
  <si>
    <t>flag to define initialization and the hydraulic boundary conditions (&gt;0 value from below, &lt;0 valure from input file: press.dat, temp.dat, mdot.dat). 1 = inlet and outlet pressure, inlet (outlet) temperaure; 2 = inlet pressure and temperature, outlet mass flow rate; 3 = inlet mass flow rate and temperature, outlet pressure.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</si>
</sst>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0" fontId="0" fillId="2" borderId="0" xfId="0" quotePrefix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1" fontId="0" fillId="0" borderId="0" xfId="0" applyNumberFormat="1" applyAlignment="1" applyProtection="1">
      <alignment wrapText="1"/>
      <protection locked="0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0" fillId="0" borderId="0" xfId="0" applyAlignment="1" applyProtection="1">
      <alignment vertical="center"/>
      <protection locked="0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2" borderId="0" xfId="0" applyFill="1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litoit-my.sharepoint.com/personal/daniele_placido_polito_it/Documents/MAHTEP/OPENSC2_work/year_2024/adaptivity/Adaptive_time_step/input_files/CASE_1_ITER_like_LTS_test_adaptive_tsep/conductor_1_inpu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e.Placido\3D%20Objects\OPENSC2\TDD_template_v3.7.2\template_conductor_1_input.xlsx" TargetMode="External"/><Relationship Id="rId1" Type="http://schemas.openxmlformats.org/officeDocument/2006/relationships/externalLinkPath" Target="template_conductor_1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"/>
      <sheetName val="STACK"/>
      <sheetName val="STR_MIX"/>
      <sheetName val="STR_STAB"/>
      <sheetName val="Z_JACKET"/>
    </sheetNames>
    <sheetDataSet>
      <sheetData sheetId="0">
        <row r="1">
          <cell r="A1" t="str">
            <v>CHAN</v>
          </cell>
        </row>
        <row r="3">
          <cell r="A3" t="str">
            <v>Variable name</v>
          </cell>
          <cell r="B3" t="str">
            <v>Unit</v>
          </cell>
          <cell r="C3" t="str">
            <v>Variable type</v>
          </cell>
          <cell r="D3" t="str">
            <v>Note/comments</v>
          </cell>
        </row>
      </sheetData>
      <sheetData sheetId="1">
        <row r="1">
          <cell r="A1" t="str">
            <v>STACK</v>
          </cell>
          <cell r="E1">
            <v>0</v>
          </cell>
        </row>
      </sheetData>
      <sheetData sheetId="2">
        <row r="1">
          <cell r="A1" t="str">
            <v>STR_MIX</v>
          </cell>
        </row>
      </sheetData>
      <sheetData sheetId="3">
        <row r="1">
          <cell r="A1" t="str">
            <v>STR_STAB</v>
          </cell>
          <cell r="E1">
            <v>0</v>
          </cell>
        </row>
      </sheetData>
      <sheetData sheetId="4">
        <row r="1">
          <cell r="A1" t="str">
            <v>Z_JACKET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"/>
      <sheetName val="STACK"/>
      <sheetName val="STR_MIX"/>
      <sheetName val="STR_STAB"/>
      <sheetName val="Z_JACKET"/>
    </sheetNames>
    <sheetDataSet>
      <sheetData sheetId="0">
        <row r="1">
          <cell r="E1">
            <v>0</v>
          </cell>
        </row>
      </sheetData>
      <sheetData sheetId="1"/>
      <sheetData sheetId="2">
        <row r="1">
          <cell r="E1">
            <v>0</v>
          </cell>
        </row>
      </sheetData>
      <sheetData sheetId="3"/>
      <sheetData sheetId="4">
        <row r="1">
          <cell r="E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2" sqref="E2"/>
    </sheetView>
  </sheetViews>
  <sheetFormatPr defaultColWidth="8.81640625" defaultRowHeight="14.5" x14ac:dyDescent="0.35"/>
  <cols>
    <col min="1" max="1" width="13.1796875" style="5" bestFit="1" customWidth="1"/>
    <col min="2" max="2" width="4.54296875" style="3" bestFit="1" customWidth="1"/>
    <col min="3" max="3" width="12.1796875" style="11" bestFit="1" customWidth="1"/>
    <col min="4" max="4" width="62.1796875" style="4" customWidth="1"/>
    <col min="5" max="5" width="8.453125" style="3" bestFit="1" customWidth="1"/>
    <col min="6" max="16384" width="8.81640625" style="5"/>
  </cols>
  <sheetData>
    <row r="1" spans="1:5" x14ac:dyDescent="0.35">
      <c r="A1" s="14" t="str">
        <f>[1]CHAN!$A$1</f>
        <v>CHAN</v>
      </c>
      <c r="B1" s="14">
        <f>SUM(E2:V2)</f>
        <v>0</v>
      </c>
      <c r="C1" s="6"/>
      <c r="D1" s="4" t="s">
        <v>39</v>
      </c>
      <c r="E1" s="13">
        <f>[2]CHAN!$E$1</f>
        <v>0</v>
      </c>
    </row>
    <row r="2" spans="1:5" ht="29" x14ac:dyDescent="0.35">
      <c r="A2" s="1"/>
      <c r="B2" s="2"/>
      <c r="C2" s="6"/>
      <c r="D2" s="4" t="s">
        <v>29</v>
      </c>
      <c r="E2" s="13">
        <f>IF(E$1 &gt; 0,1,0)</f>
        <v>0</v>
      </c>
    </row>
    <row r="3" spans="1:5" s="11" customFormat="1" x14ac:dyDescent="0.35">
      <c r="A3" s="16" t="str">
        <f>[1]CHAN!A$3</f>
        <v>Variable name</v>
      </c>
      <c r="B3" s="16" t="str">
        <f>[1]CHAN!B$3</f>
        <v>Unit</v>
      </c>
      <c r="C3" s="16" t="str">
        <f>[1]CHAN!C$3</f>
        <v>Variable type</v>
      </c>
      <c r="D3" s="16" t="str">
        <f>[1]CHAN!D$3</f>
        <v>Note/comments</v>
      </c>
      <c r="E3" s="13" t="str">
        <f>_xlfn.TEXTJOIN("_",,$A$1,E$1)</f>
        <v>CHAN_0</v>
      </c>
    </row>
    <row r="4" spans="1:5" ht="72.5" x14ac:dyDescent="0.35">
      <c r="A4" s="22" t="s">
        <v>9</v>
      </c>
      <c r="B4" s="3" t="s">
        <v>27</v>
      </c>
      <c r="C4" s="3" t="s">
        <v>25</v>
      </c>
      <c r="D4" s="4" t="s">
        <v>109</v>
      </c>
    </row>
    <row r="5" spans="1:5" x14ac:dyDescent="0.35">
      <c r="A5" s="5" t="s">
        <v>10</v>
      </c>
      <c r="B5" s="3" t="s">
        <v>14</v>
      </c>
      <c r="C5" s="11" t="s">
        <v>26</v>
      </c>
      <c r="D5" s="4" t="s">
        <v>53</v>
      </c>
    </row>
    <row r="6" spans="1:5" x14ac:dyDescent="0.35">
      <c r="A6" s="5" t="s">
        <v>11</v>
      </c>
      <c r="B6" s="3" t="s">
        <v>14</v>
      </c>
      <c r="C6" s="11" t="s">
        <v>26</v>
      </c>
      <c r="D6" s="4" t="s">
        <v>54</v>
      </c>
    </row>
    <row r="7" spans="1:5" x14ac:dyDescent="0.35">
      <c r="A7" s="5" t="s">
        <v>16</v>
      </c>
      <c r="B7" s="3" t="s">
        <v>14</v>
      </c>
      <c r="C7" s="11" t="s">
        <v>26</v>
      </c>
      <c r="D7" s="4" t="s">
        <v>55</v>
      </c>
    </row>
    <row r="8" spans="1:5" x14ac:dyDescent="0.35">
      <c r="A8" s="5" t="s">
        <v>12</v>
      </c>
      <c r="B8" s="3" t="s">
        <v>15</v>
      </c>
      <c r="C8" s="11" t="s">
        <v>26</v>
      </c>
      <c r="D8" s="12" t="s">
        <v>56</v>
      </c>
      <c r="E8" s="9"/>
    </row>
    <row r="9" spans="1:5" x14ac:dyDescent="0.35">
      <c r="A9" s="5" t="s">
        <v>13</v>
      </c>
      <c r="B9" s="3" t="s">
        <v>15</v>
      </c>
      <c r="C9" s="11" t="s">
        <v>26</v>
      </c>
      <c r="D9" s="12" t="s">
        <v>57</v>
      </c>
      <c r="E9" s="9"/>
    </row>
    <row r="10" spans="1:5" x14ac:dyDescent="0.35">
      <c r="A10" s="5" t="s">
        <v>28</v>
      </c>
      <c r="B10" s="3" t="s">
        <v>15</v>
      </c>
      <c r="C10" s="11" t="s">
        <v>26</v>
      </c>
      <c r="D10" s="12" t="s">
        <v>58</v>
      </c>
      <c r="E10" s="9"/>
    </row>
    <row r="11" spans="1:5" x14ac:dyDescent="0.35">
      <c r="A11" s="5" t="s">
        <v>18</v>
      </c>
      <c r="B11" s="3" t="s">
        <v>17</v>
      </c>
      <c r="C11" s="11" t="s">
        <v>26</v>
      </c>
      <c r="D11" s="4" t="s">
        <v>59</v>
      </c>
    </row>
    <row r="12" spans="1:5" x14ac:dyDescent="0.35">
      <c r="A12" s="5" t="s">
        <v>87</v>
      </c>
      <c r="B12" s="3" t="s">
        <v>17</v>
      </c>
      <c r="C12" s="11" t="s">
        <v>26</v>
      </c>
      <c r="D12" s="4" t="s">
        <v>88</v>
      </c>
    </row>
    <row r="13" spans="1:5" ht="43.5" x14ac:dyDescent="0.35">
      <c r="A13" s="15" t="s">
        <v>69</v>
      </c>
      <c r="B13" s="3" t="s">
        <v>27</v>
      </c>
      <c r="C13" s="3" t="s">
        <v>67</v>
      </c>
      <c r="D13" s="20" t="s">
        <v>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2A78-FBC2-476F-A763-194D3CD2A19F}">
  <dimension ref="A1:E34"/>
  <sheetViews>
    <sheetView zoomScaleNormal="100" workbookViewId="0">
      <pane xSplit="1" ySplit="3" topLeftCell="B4" activePane="bottomRight" state="frozen"/>
      <selection activeCell="D10" sqref="D10"/>
      <selection pane="topRight" activeCell="D10" sqref="D10"/>
      <selection pane="bottomLeft" activeCell="D10" sqref="D10"/>
      <selection pane="bottomRight" activeCell="E4" sqref="E4:E34"/>
    </sheetView>
  </sheetViews>
  <sheetFormatPr defaultColWidth="8.81640625" defaultRowHeight="14.5" x14ac:dyDescent="0.35"/>
  <cols>
    <col min="1" max="1" width="14.453125" style="15" bestFit="1" customWidth="1"/>
    <col min="2" max="2" width="5.1796875" style="3" bestFit="1" customWidth="1"/>
    <col min="3" max="3" width="12.1796875" style="3" bestFit="1" customWidth="1"/>
    <col min="4" max="4" width="69.453125" style="20" customWidth="1"/>
    <col min="5" max="5" width="9.1796875" style="3" bestFit="1" customWidth="1"/>
    <col min="6" max="16384" width="8.81640625" style="5"/>
  </cols>
  <sheetData>
    <row r="1" spans="1:5" x14ac:dyDescent="0.35">
      <c r="A1" s="17" t="str">
        <f>[1]STACK!$A$1</f>
        <v>STACK</v>
      </c>
      <c r="B1" s="17">
        <f>SUM(E2:AE2)</f>
        <v>0</v>
      </c>
      <c r="C1" s="2"/>
      <c r="D1" s="20" t="s">
        <v>103</v>
      </c>
      <c r="E1" s="13">
        <f>[1]STACK!$E$1</f>
        <v>0</v>
      </c>
    </row>
    <row r="2" spans="1:5" ht="29" x14ac:dyDescent="0.35">
      <c r="A2" s="18"/>
      <c r="B2" s="2"/>
      <c r="C2" s="2"/>
      <c r="D2" s="20" t="s">
        <v>32</v>
      </c>
      <c r="E2" s="13">
        <f>IF(E$1 &gt; 0,1,0)</f>
        <v>0</v>
      </c>
    </row>
    <row r="3" spans="1:5" s="3" customFormat="1" x14ac:dyDescent="0.35">
      <c r="A3" s="13" t="str">
        <f>CHAN!A3</f>
        <v>Variable name</v>
      </c>
      <c r="B3" s="13" t="str">
        <f>CHAN!B3</f>
        <v>Unit</v>
      </c>
      <c r="C3" s="13" t="str">
        <f>CHAN!C3</f>
        <v>Variable type</v>
      </c>
      <c r="D3" s="13" t="str">
        <f>CHAN!D3</f>
        <v>Note/comments</v>
      </c>
      <c r="E3" s="13" t="str">
        <f>_xlfn.TEXTJOIN("_",,$A$1,E$1)</f>
        <v>STACK_0</v>
      </c>
    </row>
    <row r="4" spans="1:5" ht="72.5" x14ac:dyDescent="0.35">
      <c r="A4" s="15" t="s">
        <v>89</v>
      </c>
      <c r="B4" s="3" t="s">
        <v>27</v>
      </c>
      <c r="C4" s="3" t="s">
        <v>25</v>
      </c>
      <c r="D4" s="20" t="s">
        <v>90</v>
      </c>
    </row>
    <row r="5" spans="1:5" ht="43.5" x14ac:dyDescent="0.35">
      <c r="A5" s="15" t="s">
        <v>71</v>
      </c>
      <c r="B5" s="3" t="s">
        <v>27</v>
      </c>
      <c r="C5" s="3" t="s">
        <v>67</v>
      </c>
      <c r="D5" s="20" t="s">
        <v>107</v>
      </c>
    </row>
    <row r="6" spans="1:5" ht="43.5" x14ac:dyDescent="0.35">
      <c r="A6" s="26" t="s">
        <v>91</v>
      </c>
      <c r="B6" s="3" t="s">
        <v>27</v>
      </c>
      <c r="C6" s="3" t="s">
        <v>25</v>
      </c>
      <c r="D6" s="20" t="s">
        <v>92</v>
      </c>
      <c r="E6" s="24"/>
    </row>
    <row r="7" spans="1:5" x14ac:dyDescent="0.35">
      <c r="A7" s="26" t="s">
        <v>93</v>
      </c>
      <c r="B7" s="7" t="s">
        <v>27</v>
      </c>
      <c r="C7" s="7" t="s">
        <v>25</v>
      </c>
      <c r="D7" s="20" t="s">
        <v>94</v>
      </c>
    </row>
    <row r="8" spans="1:5" ht="43.5" x14ac:dyDescent="0.35">
      <c r="A8" s="26" t="s">
        <v>95</v>
      </c>
      <c r="B8" s="7" t="s">
        <v>6</v>
      </c>
      <c r="C8" s="7" t="s">
        <v>26</v>
      </c>
      <c r="D8" s="20" t="s">
        <v>96</v>
      </c>
    </row>
    <row r="9" spans="1:5" ht="43.5" x14ac:dyDescent="0.35">
      <c r="A9" s="26" t="s">
        <v>97</v>
      </c>
      <c r="B9" s="7" t="s">
        <v>98</v>
      </c>
      <c r="C9" s="7" t="s">
        <v>26</v>
      </c>
      <c r="D9" s="20" t="s">
        <v>99</v>
      </c>
    </row>
    <row r="10" spans="1:5" ht="29" x14ac:dyDescent="0.35">
      <c r="A10" s="15" t="s">
        <v>0</v>
      </c>
      <c r="B10" s="3" t="s">
        <v>27</v>
      </c>
      <c r="C10" s="3" t="s">
        <v>25</v>
      </c>
      <c r="D10" s="20" t="s">
        <v>74</v>
      </c>
      <c r="E10" s="24"/>
    </row>
    <row r="11" spans="1:5" ht="43.5" x14ac:dyDescent="0.35">
      <c r="A11" s="15" t="s">
        <v>73</v>
      </c>
      <c r="B11" s="3" t="s">
        <v>27</v>
      </c>
      <c r="C11" s="3" t="s">
        <v>67</v>
      </c>
      <c r="D11" s="20" t="s">
        <v>72</v>
      </c>
    </row>
    <row r="12" spans="1:5" x14ac:dyDescent="0.35">
      <c r="A12" s="15" t="s">
        <v>66</v>
      </c>
      <c r="B12" s="3" t="s">
        <v>27</v>
      </c>
      <c r="C12" s="3" t="s">
        <v>67</v>
      </c>
      <c r="D12" s="20" t="s">
        <v>68</v>
      </c>
      <c r="E12" s="24"/>
    </row>
    <row r="13" spans="1:5" x14ac:dyDescent="0.35">
      <c r="A13" s="15" t="s">
        <v>19</v>
      </c>
      <c r="B13" s="3" t="s">
        <v>1</v>
      </c>
      <c r="C13" s="7" t="s">
        <v>26</v>
      </c>
      <c r="D13" s="20" t="s">
        <v>75</v>
      </c>
    </row>
    <row r="14" spans="1:5" x14ac:dyDescent="0.35">
      <c r="A14" s="15" t="s">
        <v>20</v>
      </c>
      <c r="B14" s="3" t="s">
        <v>1</v>
      </c>
      <c r="C14" s="7" t="s">
        <v>26</v>
      </c>
      <c r="D14" s="20" t="s">
        <v>76</v>
      </c>
    </row>
    <row r="15" spans="1:5" x14ac:dyDescent="0.35">
      <c r="A15" s="19" t="s">
        <v>21</v>
      </c>
      <c r="B15" s="23" t="s">
        <v>1</v>
      </c>
      <c r="C15" s="10" t="s">
        <v>26</v>
      </c>
      <c r="D15" s="21"/>
      <c r="E15" s="23"/>
    </row>
    <row r="16" spans="1:5" x14ac:dyDescent="0.35">
      <c r="A16" s="19" t="s">
        <v>22</v>
      </c>
      <c r="B16" s="23" t="s">
        <v>1</v>
      </c>
      <c r="C16" s="10" t="s">
        <v>26</v>
      </c>
      <c r="D16" s="21"/>
      <c r="E16" s="23"/>
    </row>
    <row r="17" spans="1:5" x14ac:dyDescent="0.35">
      <c r="A17" s="19" t="s">
        <v>23</v>
      </c>
      <c r="B17" s="23" t="s">
        <v>27</v>
      </c>
      <c r="C17" s="10" t="s">
        <v>26</v>
      </c>
      <c r="D17" s="21"/>
      <c r="E17" s="23"/>
    </row>
    <row r="18" spans="1:5" ht="29" x14ac:dyDescent="0.35">
      <c r="A18" s="15" t="s">
        <v>2</v>
      </c>
      <c r="B18" s="3" t="s">
        <v>27</v>
      </c>
      <c r="C18" s="3" t="s">
        <v>25</v>
      </c>
      <c r="D18" s="20" t="s">
        <v>41</v>
      </c>
    </row>
    <row r="19" spans="1:5" ht="43.5" x14ac:dyDescent="0.35">
      <c r="A19" s="15" t="s">
        <v>77</v>
      </c>
      <c r="B19" s="3" t="s">
        <v>27</v>
      </c>
      <c r="C19" s="3" t="s">
        <v>67</v>
      </c>
      <c r="D19" s="20" t="s">
        <v>78</v>
      </c>
    </row>
    <row r="20" spans="1:5" ht="29" x14ac:dyDescent="0.35">
      <c r="A20" s="15" t="s">
        <v>3</v>
      </c>
      <c r="B20" s="3" t="s">
        <v>27</v>
      </c>
      <c r="C20" s="3" t="s">
        <v>25</v>
      </c>
      <c r="D20" s="20" t="s">
        <v>42</v>
      </c>
      <c r="E20" s="24"/>
    </row>
    <row r="21" spans="1:5" ht="29" x14ac:dyDescent="0.35">
      <c r="A21" s="15" t="s">
        <v>85</v>
      </c>
      <c r="B21" s="3" t="s">
        <v>27</v>
      </c>
      <c r="C21" s="3" t="s">
        <v>67</v>
      </c>
      <c r="D21" s="20" t="s">
        <v>86</v>
      </c>
    </row>
    <row r="22" spans="1:5" x14ac:dyDescent="0.35">
      <c r="A22" s="15" t="s">
        <v>4</v>
      </c>
      <c r="B22" s="3" t="s">
        <v>27</v>
      </c>
      <c r="C22" s="7" t="s">
        <v>26</v>
      </c>
      <c r="D22" s="20" t="s">
        <v>43</v>
      </c>
      <c r="E22" s="9"/>
    </row>
    <row r="23" spans="1:5" ht="29" x14ac:dyDescent="0.35">
      <c r="A23" s="15" t="s">
        <v>34</v>
      </c>
      <c r="B23" s="3" t="s">
        <v>27</v>
      </c>
      <c r="C23" s="3" t="s">
        <v>25</v>
      </c>
      <c r="D23" s="20" t="s">
        <v>79</v>
      </c>
    </row>
    <row r="24" spans="1:5" ht="29" x14ac:dyDescent="0.35">
      <c r="A24" s="15" t="s">
        <v>80</v>
      </c>
      <c r="B24" s="3" t="s">
        <v>27</v>
      </c>
      <c r="C24" s="3" t="s">
        <v>67</v>
      </c>
      <c r="D24" s="20" t="s">
        <v>81</v>
      </c>
    </row>
    <row r="25" spans="1:5" x14ac:dyDescent="0.35">
      <c r="A25" s="15" t="s">
        <v>35</v>
      </c>
      <c r="B25" s="3" t="s">
        <v>6</v>
      </c>
      <c r="C25" s="7" t="s">
        <v>26</v>
      </c>
      <c r="D25" s="20" t="s">
        <v>44</v>
      </c>
      <c r="E25" s="25"/>
    </row>
    <row r="26" spans="1:5" x14ac:dyDescent="0.35">
      <c r="A26" s="15" t="s">
        <v>36</v>
      </c>
      <c r="B26" s="3" t="s">
        <v>6</v>
      </c>
      <c r="C26" s="7" t="s">
        <v>26</v>
      </c>
      <c r="D26" s="20" t="s">
        <v>45</v>
      </c>
      <c r="E26" s="25"/>
    </row>
    <row r="27" spans="1:5" x14ac:dyDescent="0.35">
      <c r="A27" s="15" t="s">
        <v>5</v>
      </c>
      <c r="B27" s="3" t="s">
        <v>7</v>
      </c>
      <c r="C27" s="7" t="s">
        <v>26</v>
      </c>
      <c r="D27" s="20" t="s">
        <v>46</v>
      </c>
      <c r="E27" s="25"/>
    </row>
    <row r="28" spans="1:5" x14ac:dyDescent="0.35">
      <c r="A28" s="15" t="s">
        <v>37</v>
      </c>
      <c r="B28" s="3" t="s">
        <v>8</v>
      </c>
      <c r="C28" s="7" t="s">
        <v>26</v>
      </c>
      <c r="D28" s="20" t="s">
        <v>47</v>
      </c>
      <c r="E28" s="25"/>
    </row>
    <row r="29" spans="1:5" x14ac:dyDescent="0.35">
      <c r="A29" s="15" t="s">
        <v>38</v>
      </c>
      <c r="B29" s="3" t="s">
        <v>8</v>
      </c>
      <c r="C29" s="7" t="s">
        <v>26</v>
      </c>
      <c r="D29" s="20" t="s">
        <v>48</v>
      </c>
      <c r="E29" s="25"/>
    </row>
    <row r="30" spans="1:5" ht="29" x14ac:dyDescent="0.35">
      <c r="A30" s="15" t="s">
        <v>24</v>
      </c>
      <c r="B30" s="3" t="s">
        <v>27</v>
      </c>
      <c r="C30" s="7" t="s">
        <v>26</v>
      </c>
      <c r="D30" s="20" t="s">
        <v>49</v>
      </c>
      <c r="E30" s="25"/>
    </row>
    <row r="31" spans="1:5" ht="58" x14ac:dyDescent="0.35">
      <c r="A31" s="15" t="s">
        <v>9</v>
      </c>
      <c r="B31" s="3" t="s">
        <v>27</v>
      </c>
      <c r="C31" s="3" t="s">
        <v>25</v>
      </c>
      <c r="D31" s="20" t="s">
        <v>100</v>
      </c>
    </row>
    <row r="32" spans="1:5" x14ac:dyDescent="0.35">
      <c r="A32" s="15" t="s">
        <v>10</v>
      </c>
      <c r="B32" s="3" t="s">
        <v>14</v>
      </c>
      <c r="C32" s="3" t="s">
        <v>26</v>
      </c>
      <c r="D32" s="20" t="s">
        <v>101</v>
      </c>
    </row>
    <row r="33" spans="1:4" x14ac:dyDescent="0.35">
      <c r="A33" s="15" t="s">
        <v>11</v>
      </c>
      <c r="B33" s="3" t="s">
        <v>14</v>
      </c>
      <c r="C33" s="3" t="s">
        <v>26</v>
      </c>
      <c r="D33" s="20" t="s">
        <v>102</v>
      </c>
    </row>
    <row r="34" spans="1:4" ht="72.5" x14ac:dyDescent="0.35">
      <c r="A34" s="15" t="s">
        <v>82</v>
      </c>
      <c r="B34" s="3" t="s">
        <v>27</v>
      </c>
      <c r="C34" s="3" t="s">
        <v>83</v>
      </c>
      <c r="D34" s="20" t="s">
        <v>84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4" sqref="E4:E34"/>
    </sheetView>
  </sheetViews>
  <sheetFormatPr defaultColWidth="8.81640625" defaultRowHeight="14.5" x14ac:dyDescent="0.35"/>
  <cols>
    <col min="1" max="1" width="19.54296875" style="15" customWidth="1"/>
    <col min="2" max="2" width="5.1796875" style="3" bestFit="1" customWidth="1"/>
    <col min="3" max="3" width="12.1796875" style="3" bestFit="1" customWidth="1"/>
    <col min="4" max="4" width="69.453125" style="20" customWidth="1"/>
    <col min="5" max="5" width="10.54296875" style="3" bestFit="1" customWidth="1"/>
    <col min="6" max="16384" width="8.81640625" style="5"/>
  </cols>
  <sheetData>
    <row r="1" spans="1:5" x14ac:dyDescent="0.35">
      <c r="A1" s="17" t="str">
        <f>[1]STR_MIX!$A$1</f>
        <v>STR_MIX</v>
      </c>
      <c r="B1" s="17">
        <f>SUM(E2:AE2)</f>
        <v>0</v>
      </c>
      <c r="C1" s="2"/>
      <c r="D1" s="20" t="s">
        <v>40</v>
      </c>
      <c r="E1" s="13">
        <f>[2]STR_MIX!$E$1</f>
        <v>0</v>
      </c>
    </row>
    <row r="2" spans="1:5" ht="29" x14ac:dyDescent="0.35">
      <c r="A2" s="18"/>
      <c r="B2" s="2"/>
      <c r="C2" s="2"/>
      <c r="D2" s="20" t="s">
        <v>31</v>
      </c>
      <c r="E2" s="13">
        <f>IF(E$1 &gt; 0,1,0)</f>
        <v>0</v>
      </c>
    </row>
    <row r="3" spans="1:5" s="11" customFormat="1" x14ac:dyDescent="0.35">
      <c r="A3" s="13" t="str">
        <f>CHAN!A3</f>
        <v>Variable name</v>
      </c>
      <c r="B3" s="13" t="str">
        <f>CHAN!B3</f>
        <v>Unit</v>
      </c>
      <c r="C3" s="13" t="str">
        <f>CHAN!C3</f>
        <v>Variable type</v>
      </c>
      <c r="D3" s="13" t="str">
        <f>CHAN!D3</f>
        <v>Note/comments</v>
      </c>
      <c r="E3" s="13" t="str">
        <f>_xlfn.TEXTJOIN("_",,$A$1,E$1)</f>
        <v>STR_MIX_0</v>
      </c>
    </row>
    <row r="4" spans="1:5" ht="72.5" x14ac:dyDescent="0.35">
      <c r="A4" s="15" t="s">
        <v>89</v>
      </c>
      <c r="B4" s="3" t="s">
        <v>27</v>
      </c>
      <c r="C4" s="3" t="s">
        <v>25</v>
      </c>
      <c r="D4" s="20" t="s">
        <v>90</v>
      </c>
    </row>
    <row r="5" spans="1:5" ht="43.5" x14ac:dyDescent="0.35">
      <c r="A5" s="15" t="s">
        <v>71</v>
      </c>
      <c r="B5" s="3" t="s">
        <v>27</v>
      </c>
      <c r="C5" s="3" t="s">
        <v>67</v>
      </c>
      <c r="D5" s="20" t="s">
        <v>108</v>
      </c>
    </row>
    <row r="6" spans="1:5" ht="43.5" x14ac:dyDescent="0.35">
      <c r="A6" s="26" t="s">
        <v>91</v>
      </c>
      <c r="B6" s="3" t="s">
        <v>27</v>
      </c>
      <c r="C6" s="3" t="s">
        <v>25</v>
      </c>
      <c r="D6" s="20" t="s">
        <v>92</v>
      </c>
      <c r="E6" s="24"/>
    </row>
    <row r="7" spans="1:5" x14ac:dyDescent="0.35">
      <c r="A7" s="26" t="s">
        <v>93</v>
      </c>
      <c r="B7" s="7" t="s">
        <v>27</v>
      </c>
      <c r="C7" s="7" t="s">
        <v>25</v>
      </c>
      <c r="D7" s="20" t="s">
        <v>94</v>
      </c>
    </row>
    <row r="8" spans="1:5" ht="43.5" x14ac:dyDescent="0.35">
      <c r="A8" s="26" t="s">
        <v>95</v>
      </c>
      <c r="B8" s="7" t="s">
        <v>6</v>
      </c>
      <c r="C8" s="7" t="s">
        <v>26</v>
      </c>
      <c r="D8" s="20" t="s">
        <v>96</v>
      </c>
    </row>
    <row r="9" spans="1:5" ht="43.5" x14ac:dyDescent="0.35">
      <c r="A9" s="26" t="s">
        <v>97</v>
      </c>
      <c r="B9" s="7" t="s">
        <v>98</v>
      </c>
      <c r="C9" s="7" t="s">
        <v>26</v>
      </c>
      <c r="D9" s="20" t="s">
        <v>99</v>
      </c>
    </row>
    <row r="10" spans="1:5" ht="29" x14ac:dyDescent="0.35">
      <c r="A10" s="15" t="s">
        <v>0</v>
      </c>
      <c r="B10" s="3" t="s">
        <v>27</v>
      </c>
      <c r="C10" s="3" t="s">
        <v>25</v>
      </c>
      <c r="D10" s="20" t="s">
        <v>74</v>
      </c>
      <c r="E10" s="24"/>
    </row>
    <row r="11" spans="1:5" ht="43.5" x14ac:dyDescent="0.35">
      <c r="A11" s="15" t="s">
        <v>73</v>
      </c>
      <c r="B11" s="3" t="s">
        <v>27</v>
      </c>
      <c r="C11" s="3" t="s">
        <v>67</v>
      </c>
      <c r="D11" s="20" t="s">
        <v>72</v>
      </c>
    </row>
    <row r="12" spans="1:5" x14ac:dyDescent="0.35">
      <c r="A12" s="15" t="s">
        <v>66</v>
      </c>
      <c r="B12" s="3" t="s">
        <v>27</v>
      </c>
      <c r="C12" s="3" t="s">
        <v>67</v>
      </c>
      <c r="D12" s="20" t="s">
        <v>68</v>
      </c>
      <c r="E12" s="24"/>
    </row>
    <row r="13" spans="1:5" x14ac:dyDescent="0.35">
      <c r="A13" s="15" t="s">
        <v>19</v>
      </c>
      <c r="B13" s="3" t="s">
        <v>1</v>
      </c>
      <c r="C13" s="7" t="s">
        <v>26</v>
      </c>
      <c r="D13" s="20" t="s">
        <v>75</v>
      </c>
    </row>
    <row r="14" spans="1:5" x14ac:dyDescent="0.35">
      <c r="A14" s="15" t="s">
        <v>20</v>
      </c>
      <c r="B14" s="3" t="s">
        <v>1</v>
      </c>
      <c r="C14" s="7" t="s">
        <v>26</v>
      </c>
      <c r="D14" s="20" t="s">
        <v>76</v>
      </c>
    </row>
    <row r="15" spans="1:5" x14ac:dyDescent="0.35">
      <c r="A15" s="19" t="s">
        <v>21</v>
      </c>
      <c r="B15" s="23" t="s">
        <v>1</v>
      </c>
      <c r="C15" s="10" t="s">
        <v>26</v>
      </c>
      <c r="D15" s="21"/>
      <c r="E15" s="23"/>
    </row>
    <row r="16" spans="1:5" x14ac:dyDescent="0.35">
      <c r="A16" s="19" t="s">
        <v>22</v>
      </c>
      <c r="B16" s="23" t="s">
        <v>1</v>
      </c>
      <c r="C16" s="10" t="s">
        <v>26</v>
      </c>
      <c r="D16" s="21"/>
      <c r="E16" s="23"/>
    </row>
    <row r="17" spans="1:5" x14ac:dyDescent="0.35">
      <c r="A17" s="19" t="s">
        <v>23</v>
      </c>
      <c r="B17" s="23" t="s">
        <v>27</v>
      </c>
      <c r="C17" s="10" t="s">
        <v>26</v>
      </c>
      <c r="D17" s="21"/>
      <c r="E17" s="23"/>
    </row>
    <row r="18" spans="1:5" ht="29" x14ac:dyDescent="0.35">
      <c r="A18" s="15" t="s">
        <v>2</v>
      </c>
      <c r="B18" s="3" t="s">
        <v>27</v>
      </c>
      <c r="C18" s="3" t="s">
        <v>25</v>
      </c>
      <c r="D18" s="20" t="s">
        <v>41</v>
      </c>
    </row>
    <row r="19" spans="1:5" ht="43.5" x14ac:dyDescent="0.35">
      <c r="A19" s="15" t="s">
        <v>77</v>
      </c>
      <c r="B19" s="3" t="s">
        <v>27</v>
      </c>
      <c r="C19" s="3" t="s">
        <v>67</v>
      </c>
      <c r="D19" s="20" t="s">
        <v>78</v>
      </c>
    </row>
    <row r="20" spans="1:5" ht="29" x14ac:dyDescent="0.35">
      <c r="A20" s="15" t="s">
        <v>3</v>
      </c>
      <c r="B20" s="3" t="s">
        <v>27</v>
      </c>
      <c r="C20" s="3" t="s">
        <v>25</v>
      </c>
      <c r="D20" s="20" t="s">
        <v>42</v>
      </c>
      <c r="E20" s="24"/>
    </row>
    <row r="21" spans="1:5" ht="29" x14ac:dyDescent="0.35">
      <c r="A21" s="15" t="s">
        <v>85</v>
      </c>
      <c r="B21" s="3" t="s">
        <v>27</v>
      </c>
      <c r="C21" s="3" t="s">
        <v>67</v>
      </c>
      <c r="D21" s="20" t="s">
        <v>86</v>
      </c>
    </row>
    <row r="22" spans="1:5" x14ac:dyDescent="0.35">
      <c r="A22" s="15" t="s">
        <v>4</v>
      </c>
      <c r="B22" s="3" t="s">
        <v>27</v>
      </c>
      <c r="C22" s="7" t="s">
        <v>26</v>
      </c>
      <c r="D22" s="20" t="s">
        <v>43</v>
      </c>
      <c r="E22" s="9"/>
    </row>
    <row r="23" spans="1:5" ht="29" x14ac:dyDescent="0.35">
      <c r="A23" s="15" t="s">
        <v>34</v>
      </c>
      <c r="B23" s="3" t="s">
        <v>27</v>
      </c>
      <c r="C23" s="3" t="s">
        <v>25</v>
      </c>
      <c r="D23" s="20" t="s">
        <v>79</v>
      </c>
    </row>
    <row r="24" spans="1:5" ht="29" x14ac:dyDescent="0.35">
      <c r="A24" s="15" t="s">
        <v>80</v>
      </c>
      <c r="B24" s="3" t="s">
        <v>27</v>
      </c>
      <c r="C24" s="3" t="s">
        <v>67</v>
      </c>
      <c r="D24" s="20" t="s">
        <v>81</v>
      </c>
    </row>
    <row r="25" spans="1:5" x14ac:dyDescent="0.35">
      <c r="A25" s="15" t="s">
        <v>35</v>
      </c>
      <c r="B25" s="3" t="s">
        <v>6</v>
      </c>
      <c r="C25" s="7" t="s">
        <v>26</v>
      </c>
      <c r="D25" s="20" t="s">
        <v>44</v>
      </c>
    </row>
    <row r="26" spans="1:5" x14ac:dyDescent="0.35">
      <c r="A26" s="15" t="s">
        <v>36</v>
      </c>
      <c r="B26" s="3" t="s">
        <v>6</v>
      </c>
      <c r="C26" s="7" t="s">
        <v>26</v>
      </c>
      <c r="D26" s="20" t="s">
        <v>45</v>
      </c>
    </row>
    <row r="27" spans="1:5" x14ac:dyDescent="0.35">
      <c r="A27" s="15" t="s">
        <v>5</v>
      </c>
      <c r="B27" s="3" t="s">
        <v>7</v>
      </c>
      <c r="C27" s="7" t="s">
        <v>26</v>
      </c>
      <c r="D27" s="20" t="s">
        <v>46</v>
      </c>
    </row>
    <row r="28" spans="1:5" x14ac:dyDescent="0.35">
      <c r="A28" s="15" t="s">
        <v>37</v>
      </c>
      <c r="B28" s="3" t="s">
        <v>8</v>
      </c>
      <c r="C28" s="7" t="s">
        <v>26</v>
      </c>
      <c r="D28" s="20" t="s">
        <v>47</v>
      </c>
    </row>
    <row r="29" spans="1:5" x14ac:dyDescent="0.35">
      <c r="A29" s="15" t="s">
        <v>38</v>
      </c>
      <c r="B29" s="3" t="s">
        <v>8</v>
      </c>
      <c r="C29" s="7" t="s">
        <v>26</v>
      </c>
      <c r="D29" s="20" t="s">
        <v>48</v>
      </c>
    </row>
    <row r="30" spans="1:5" ht="29" x14ac:dyDescent="0.35">
      <c r="A30" s="15" t="s">
        <v>24</v>
      </c>
      <c r="B30" s="3" t="s">
        <v>27</v>
      </c>
      <c r="C30" s="7" t="s">
        <v>26</v>
      </c>
      <c r="D30" s="20" t="s">
        <v>49</v>
      </c>
    </row>
    <row r="31" spans="1:5" ht="58" x14ac:dyDescent="0.35">
      <c r="A31" s="15" t="s">
        <v>9</v>
      </c>
      <c r="B31" s="3" t="s">
        <v>27</v>
      </c>
      <c r="C31" s="3" t="s">
        <v>25</v>
      </c>
      <c r="D31" s="20" t="s">
        <v>60</v>
      </c>
    </row>
    <row r="32" spans="1:5" x14ac:dyDescent="0.35">
      <c r="A32" s="15" t="s">
        <v>10</v>
      </c>
      <c r="B32" s="3" t="s">
        <v>14</v>
      </c>
      <c r="C32" s="3" t="s">
        <v>26</v>
      </c>
      <c r="D32" s="20" t="s">
        <v>61</v>
      </c>
    </row>
    <row r="33" spans="1:4" x14ac:dyDescent="0.35">
      <c r="A33" s="15" t="s">
        <v>11</v>
      </c>
      <c r="B33" s="3" t="s">
        <v>14</v>
      </c>
      <c r="C33" s="3" t="s">
        <v>26</v>
      </c>
      <c r="D33" s="20" t="s">
        <v>62</v>
      </c>
    </row>
    <row r="34" spans="1:4" ht="72.5" x14ac:dyDescent="0.35">
      <c r="A34" s="15" t="s">
        <v>82</v>
      </c>
      <c r="B34" s="3" t="s">
        <v>27</v>
      </c>
      <c r="C34" s="3" t="s">
        <v>83</v>
      </c>
      <c r="D34" s="20" t="s">
        <v>84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09E2-9ECD-4150-8BC7-6143A0B898FB}">
  <dimension ref="A1:E30"/>
  <sheetViews>
    <sheetView zoomScaleNormal="100" workbookViewId="0">
      <pane xSplit="1" ySplit="3" topLeftCell="B21" activePane="bottomRight" state="frozen"/>
      <selection activeCell="D22" sqref="D22"/>
      <selection pane="topRight" activeCell="D22" sqref="D22"/>
      <selection pane="bottomLeft" activeCell="D22" sqref="D22"/>
      <selection pane="bottomRight" activeCell="E4" sqref="E4:E30"/>
    </sheetView>
  </sheetViews>
  <sheetFormatPr defaultColWidth="8.81640625" defaultRowHeight="14.5" x14ac:dyDescent="0.35"/>
  <cols>
    <col min="1" max="1" width="14.453125" style="15" bestFit="1" customWidth="1"/>
    <col min="2" max="2" width="5.1796875" style="3" bestFit="1" customWidth="1"/>
    <col min="3" max="3" width="12.1796875" style="3" bestFit="1" customWidth="1"/>
    <col min="4" max="4" width="69.453125" style="4" customWidth="1"/>
    <col min="5" max="5" width="11.453125" style="3" bestFit="1" customWidth="1"/>
    <col min="6" max="16384" width="8.81640625" style="5"/>
  </cols>
  <sheetData>
    <row r="1" spans="1:5" x14ac:dyDescent="0.35">
      <c r="A1" s="17" t="str">
        <f>[1]STR_STAB!$A$1</f>
        <v>STR_STAB</v>
      </c>
      <c r="B1" s="17">
        <f>SUM(E2:AE2)</f>
        <v>0</v>
      </c>
      <c r="C1" s="2"/>
      <c r="D1" s="4" t="s">
        <v>50</v>
      </c>
      <c r="E1" s="13">
        <f>[1]STR_STAB!E$1</f>
        <v>0</v>
      </c>
    </row>
    <row r="2" spans="1:5" ht="29" x14ac:dyDescent="0.35">
      <c r="A2" s="18"/>
      <c r="B2" s="2"/>
      <c r="C2" s="2"/>
      <c r="D2" s="4" t="s">
        <v>30</v>
      </c>
      <c r="E2" s="13">
        <f>IF(E$1 &gt; 0,1,0)</f>
        <v>0</v>
      </c>
    </row>
    <row r="3" spans="1:5" s="11" customFormat="1" x14ac:dyDescent="0.35">
      <c r="A3" s="13" t="str">
        <f>CHAN!A3</f>
        <v>Variable name</v>
      </c>
      <c r="B3" s="13" t="str">
        <f>CHAN!B3</f>
        <v>Unit</v>
      </c>
      <c r="C3" s="13" t="str">
        <f>CHAN!C3</f>
        <v>Variable type</v>
      </c>
      <c r="D3" s="13" t="str">
        <f>CHAN!D3</f>
        <v>Note/comments</v>
      </c>
      <c r="E3" s="13" t="str">
        <f>_xlfn.TEXTJOIN("_",,$A$1,E$1)</f>
        <v>STR_STAB_0</v>
      </c>
    </row>
    <row r="4" spans="1:5" ht="72.5" x14ac:dyDescent="0.35">
      <c r="A4" s="15" t="s">
        <v>89</v>
      </c>
      <c r="B4" s="3" t="s">
        <v>27</v>
      </c>
      <c r="C4" s="3" t="s">
        <v>25</v>
      </c>
      <c r="D4" s="20" t="s">
        <v>90</v>
      </c>
    </row>
    <row r="5" spans="1:5" ht="43.5" x14ac:dyDescent="0.35">
      <c r="A5" s="15" t="s">
        <v>71</v>
      </c>
      <c r="B5" s="3" t="s">
        <v>27</v>
      </c>
      <c r="C5" s="3" t="s">
        <v>67</v>
      </c>
      <c r="D5" s="20" t="s">
        <v>107</v>
      </c>
    </row>
    <row r="6" spans="1:5" ht="43.5" x14ac:dyDescent="0.35">
      <c r="A6" s="26" t="s">
        <v>91</v>
      </c>
      <c r="B6" s="3" t="s">
        <v>27</v>
      </c>
      <c r="C6" s="3" t="s">
        <v>25</v>
      </c>
      <c r="D6" s="20" t="s">
        <v>92</v>
      </c>
      <c r="E6" s="24"/>
    </row>
    <row r="7" spans="1:5" x14ac:dyDescent="0.35">
      <c r="A7" s="26" t="s">
        <v>93</v>
      </c>
      <c r="B7" s="7" t="s">
        <v>27</v>
      </c>
      <c r="C7" s="7" t="s">
        <v>25</v>
      </c>
      <c r="D7" s="20" t="s">
        <v>94</v>
      </c>
    </row>
    <row r="8" spans="1:5" ht="43.5" x14ac:dyDescent="0.35">
      <c r="A8" s="26" t="s">
        <v>95</v>
      </c>
      <c r="B8" s="7" t="s">
        <v>6</v>
      </c>
      <c r="C8" s="7" t="s">
        <v>26</v>
      </c>
      <c r="D8" s="20" t="s">
        <v>96</v>
      </c>
    </row>
    <row r="9" spans="1:5" ht="43.5" x14ac:dyDescent="0.35">
      <c r="A9" s="26" t="s">
        <v>97</v>
      </c>
      <c r="B9" s="7" t="s">
        <v>98</v>
      </c>
      <c r="C9" s="7" t="s">
        <v>26</v>
      </c>
      <c r="D9" s="20" t="s">
        <v>99</v>
      </c>
    </row>
    <row r="10" spans="1:5" ht="29" x14ac:dyDescent="0.35">
      <c r="A10" s="15" t="s">
        <v>0</v>
      </c>
      <c r="B10" s="3" t="s">
        <v>27</v>
      </c>
      <c r="C10" s="3" t="s">
        <v>25</v>
      </c>
      <c r="D10" s="20" t="s">
        <v>74</v>
      </c>
      <c r="E10" s="24"/>
    </row>
    <row r="11" spans="1:5" ht="43.5" x14ac:dyDescent="0.35">
      <c r="A11" s="15" t="s">
        <v>73</v>
      </c>
      <c r="B11" s="3" t="s">
        <v>27</v>
      </c>
      <c r="C11" s="3" t="s">
        <v>67</v>
      </c>
      <c r="D11" s="20" t="s">
        <v>72</v>
      </c>
    </row>
    <row r="12" spans="1:5" x14ac:dyDescent="0.35">
      <c r="A12" s="15" t="s">
        <v>66</v>
      </c>
      <c r="B12" s="3" t="s">
        <v>27</v>
      </c>
      <c r="C12" s="3" t="s">
        <v>67</v>
      </c>
      <c r="D12" s="20" t="s">
        <v>68</v>
      </c>
      <c r="E12" s="24"/>
    </row>
    <row r="13" spans="1:5" x14ac:dyDescent="0.35">
      <c r="A13" s="15" t="s">
        <v>19</v>
      </c>
      <c r="B13" s="3" t="s">
        <v>1</v>
      </c>
      <c r="C13" s="7" t="s">
        <v>26</v>
      </c>
      <c r="D13" s="20" t="s">
        <v>75</v>
      </c>
    </row>
    <row r="14" spans="1:5" x14ac:dyDescent="0.35">
      <c r="A14" s="15" t="s">
        <v>20</v>
      </c>
      <c r="B14" s="3" t="s">
        <v>1</v>
      </c>
      <c r="C14" s="7" t="s">
        <v>26</v>
      </c>
      <c r="D14" s="20" t="s">
        <v>76</v>
      </c>
    </row>
    <row r="15" spans="1:5" x14ac:dyDescent="0.35">
      <c r="A15" s="19" t="s">
        <v>21</v>
      </c>
      <c r="B15" s="23" t="s">
        <v>1</v>
      </c>
      <c r="C15" s="10" t="s">
        <v>26</v>
      </c>
      <c r="D15" s="21"/>
      <c r="E15" s="23"/>
    </row>
    <row r="16" spans="1:5" x14ac:dyDescent="0.35">
      <c r="A16" s="19" t="s">
        <v>22</v>
      </c>
      <c r="B16" s="23" t="s">
        <v>1</v>
      </c>
      <c r="C16" s="10" t="s">
        <v>26</v>
      </c>
      <c r="D16" s="21"/>
      <c r="E16" s="23"/>
    </row>
    <row r="17" spans="1:5" x14ac:dyDescent="0.35">
      <c r="A17" s="19" t="s">
        <v>23</v>
      </c>
      <c r="B17" s="23" t="s">
        <v>27</v>
      </c>
      <c r="C17" s="10" t="s">
        <v>26</v>
      </c>
      <c r="D17" s="21"/>
      <c r="E17" s="23"/>
    </row>
    <row r="18" spans="1:5" ht="29" x14ac:dyDescent="0.35">
      <c r="A18" s="15" t="s">
        <v>2</v>
      </c>
      <c r="B18" s="3" t="s">
        <v>27</v>
      </c>
      <c r="C18" s="3" t="s">
        <v>25</v>
      </c>
      <c r="D18" s="20" t="s">
        <v>41</v>
      </c>
    </row>
    <row r="19" spans="1:5" ht="43.5" x14ac:dyDescent="0.35">
      <c r="A19" s="15" t="s">
        <v>77</v>
      </c>
      <c r="B19" s="3" t="s">
        <v>27</v>
      </c>
      <c r="C19" s="3" t="s">
        <v>67</v>
      </c>
      <c r="D19" s="20" t="s">
        <v>78</v>
      </c>
    </row>
    <row r="20" spans="1:5" ht="29" x14ac:dyDescent="0.35">
      <c r="A20" s="15" t="s">
        <v>34</v>
      </c>
      <c r="B20" s="3" t="s">
        <v>27</v>
      </c>
      <c r="C20" s="3" t="s">
        <v>25</v>
      </c>
      <c r="D20" s="20" t="s">
        <v>79</v>
      </c>
    </row>
    <row r="21" spans="1:5" ht="29" x14ac:dyDescent="0.35">
      <c r="A21" s="15" t="s">
        <v>80</v>
      </c>
      <c r="B21" s="3" t="s">
        <v>27</v>
      </c>
      <c r="C21" s="3" t="s">
        <v>67</v>
      </c>
      <c r="D21" s="20" t="s">
        <v>81</v>
      </c>
    </row>
    <row r="22" spans="1:5" x14ac:dyDescent="0.35">
      <c r="A22" s="15" t="s">
        <v>35</v>
      </c>
      <c r="B22" s="3" t="s">
        <v>6</v>
      </c>
      <c r="C22" s="7" t="s">
        <v>26</v>
      </c>
      <c r="D22" s="4" t="s">
        <v>44</v>
      </c>
      <c r="E22" s="8"/>
    </row>
    <row r="23" spans="1:5" x14ac:dyDescent="0.35">
      <c r="A23" s="15" t="s">
        <v>36</v>
      </c>
      <c r="B23" s="3" t="s">
        <v>6</v>
      </c>
      <c r="C23" s="7" t="s">
        <v>26</v>
      </c>
      <c r="D23" s="20" t="s">
        <v>45</v>
      </c>
      <c r="E23" s="8"/>
    </row>
    <row r="24" spans="1:5" x14ac:dyDescent="0.35">
      <c r="A24" s="15" t="s">
        <v>5</v>
      </c>
      <c r="B24" s="3" t="s">
        <v>7</v>
      </c>
      <c r="C24" s="7" t="s">
        <v>26</v>
      </c>
      <c r="D24" s="4" t="s">
        <v>46</v>
      </c>
      <c r="E24" s="8"/>
    </row>
    <row r="25" spans="1:5" x14ac:dyDescent="0.35">
      <c r="A25" s="15" t="s">
        <v>37</v>
      </c>
      <c r="B25" s="3" t="s">
        <v>8</v>
      </c>
      <c r="C25" s="7" t="s">
        <v>26</v>
      </c>
      <c r="D25" s="4" t="s">
        <v>47</v>
      </c>
      <c r="E25" s="25"/>
    </row>
    <row r="26" spans="1:5" x14ac:dyDescent="0.35">
      <c r="A26" s="15" t="s">
        <v>38</v>
      </c>
      <c r="B26" s="3" t="s">
        <v>8</v>
      </c>
      <c r="C26" s="7" t="s">
        <v>26</v>
      </c>
      <c r="D26" s="4" t="s">
        <v>48</v>
      </c>
      <c r="E26" s="25"/>
    </row>
    <row r="27" spans="1:5" ht="29" x14ac:dyDescent="0.35">
      <c r="A27" s="15" t="s">
        <v>24</v>
      </c>
      <c r="B27" s="3" t="s">
        <v>27</v>
      </c>
      <c r="C27" s="7" t="s">
        <v>26</v>
      </c>
      <c r="D27" s="4" t="s">
        <v>49</v>
      </c>
      <c r="E27" s="25"/>
    </row>
    <row r="28" spans="1:5" ht="58" x14ac:dyDescent="0.35">
      <c r="A28" s="15" t="s">
        <v>9</v>
      </c>
      <c r="B28" s="3" t="s">
        <v>27</v>
      </c>
      <c r="C28" s="3" t="s">
        <v>25</v>
      </c>
      <c r="D28" s="20" t="s">
        <v>104</v>
      </c>
      <c r="E28" s="25"/>
    </row>
    <row r="29" spans="1:5" x14ac:dyDescent="0.35">
      <c r="A29" s="15" t="s">
        <v>10</v>
      </c>
      <c r="B29" s="3" t="s">
        <v>14</v>
      </c>
      <c r="C29" s="3" t="s">
        <v>26</v>
      </c>
      <c r="D29" s="20" t="s">
        <v>105</v>
      </c>
      <c r="E29" s="25"/>
    </row>
    <row r="30" spans="1:5" x14ac:dyDescent="0.35">
      <c r="A30" s="15" t="s">
        <v>11</v>
      </c>
      <c r="B30" s="3" t="s">
        <v>14</v>
      </c>
      <c r="C30" s="3" t="s">
        <v>26</v>
      </c>
      <c r="D30" s="20" t="s">
        <v>106</v>
      </c>
      <c r="E30" s="2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Normal="100" workbookViewId="0">
      <pane xSplit="1" ySplit="3" topLeftCell="B16" activePane="bottomRight" state="frozen"/>
      <selection activeCell="D22" sqref="D22"/>
      <selection pane="topRight" activeCell="D22" sqref="D22"/>
      <selection pane="bottomLeft" activeCell="D22" sqref="D22"/>
      <selection pane="bottomRight" activeCell="H26" sqref="H26"/>
    </sheetView>
  </sheetViews>
  <sheetFormatPr defaultColWidth="8.81640625" defaultRowHeight="14.5" x14ac:dyDescent="0.35"/>
  <cols>
    <col min="1" max="1" width="14.453125" style="15" bestFit="1" customWidth="1"/>
    <col min="2" max="2" width="5.1796875" style="3" bestFit="1" customWidth="1"/>
    <col min="3" max="3" width="12.1796875" style="3" bestFit="1" customWidth="1"/>
    <col min="4" max="4" width="69.453125" style="4" customWidth="1"/>
    <col min="5" max="5" width="11.1796875" style="3" bestFit="1" customWidth="1"/>
    <col min="6" max="16384" width="8.81640625" style="5"/>
  </cols>
  <sheetData>
    <row r="1" spans="1:5" x14ac:dyDescent="0.35">
      <c r="A1" s="17" t="str">
        <f>[1]Z_JACKET!$A$1</f>
        <v>Z_JACKET</v>
      </c>
      <c r="B1" s="17">
        <f>SUM(E2:AE2)</f>
        <v>0</v>
      </c>
      <c r="C1" s="2"/>
      <c r="D1" s="4" t="s">
        <v>51</v>
      </c>
      <c r="E1" s="13">
        <f>[2]Z_JACKET!$E$1</f>
        <v>0</v>
      </c>
    </row>
    <row r="2" spans="1:5" ht="29" x14ac:dyDescent="0.35">
      <c r="A2" s="18"/>
      <c r="B2" s="2"/>
      <c r="C2" s="2"/>
      <c r="D2" s="4" t="s">
        <v>33</v>
      </c>
      <c r="E2" s="13">
        <f>IF(E$1 &gt; 0,1,0)</f>
        <v>0</v>
      </c>
    </row>
    <row r="3" spans="1:5" x14ac:dyDescent="0.35">
      <c r="A3" s="17" t="str">
        <f>CHAN!A3</f>
        <v>Variable name</v>
      </c>
      <c r="B3" s="17" t="str">
        <f>CHAN!B3</f>
        <v>Unit</v>
      </c>
      <c r="C3" s="17" t="str">
        <f>CHAN!C3</f>
        <v>Variable type</v>
      </c>
      <c r="D3" s="17" t="str">
        <f>CHAN!D3</f>
        <v>Note/comments</v>
      </c>
      <c r="E3" s="13" t="str">
        <f>_xlfn.TEXTJOIN("_",,$A$1,E$1)</f>
        <v>Z_JACKET_0</v>
      </c>
    </row>
    <row r="4" spans="1:5" ht="72.5" x14ac:dyDescent="0.35">
      <c r="A4" s="15" t="s">
        <v>89</v>
      </c>
      <c r="B4" s="3" t="s">
        <v>27</v>
      </c>
      <c r="C4" s="3" t="s">
        <v>25</v>
      </c>
      <c r="D4" s="20" t="s">
        <v>90</v>
      </c>
    </row>
    <row r="5" spans="1:5" ht="43.5" x14ac:dyDescent="0.35">
      <c r="A5" s="15" t="s">
        <v>71</v>
      </c>
      <c r="B5" s="3" t="s">
        <v>27</v>
      </c>
      <c r="C5" s="3" t="s">
        <v>67</v>
      </c>
      <c r="D5" s="20" t="s">
        <v>107</v>
      </c>
    </row>
    <row r="6" spans="1:5" ht="29" x14ac:dyDescent="0.35">
      <c r="A6" s="15" t="s">
        <v>0</v>
      </c>
      <c r="B6" s="3" t="s">
        <v>27</v>
      </c>
      <c r="C6" s="3" t="s">
        <v>25</v>
      </c>
      <c r="D6" s="20" t="s">
        <v>74</v>
      </c>
      <c r="E6" s="24"/>
    </row>
    <row r="7" spans="1:5" ht="43.5" x14ac:dyDescent="0.35">
      <c r="A7" s="15" t="s">
        <v>73</v>
      </c>
      <c r="B7" s="3" t="s">
        <v>27</v>
      </c>
      <c r="C7" s="3" t="s">
        <v>67</v>
      </c>
      <c r="D7" s="20" t="s">
        <v>72</v>
      </c>
    </row>
    <row r="8" spans="1:5" x14ac:dyDescent="0.35">
      <c r="A8" s="15" t="s">
        <v>66</v>
      </c>
      <c r="B8" s="3" t="s">
        <v>27</v>
      </c>
      <c r="C8" s="3" t="s">
        <v>67</v>
      </c>
      <c r="D8" s="20" t="s">
        <v>68</v>
      </c>
      <c r="E8" s="24"/>
    </row>
    <row r="9" spans="1:5" x14ac:dyDescent="0.35">
      <c r="A9" s="15" t="s">
        <v>19</v>
      </c>
      <c r="B9" s="3" t="s">
        <v>1</v>
      </c>
      <c r="C9" s="7" t="s">
        <v>26</v>
      </c>
      <c r="D9" s="20" t="s">
        <v>75</v>
      </c>
    </row>
    <row r="10" spans="1:5" x14ac:dyDescent="0.35">
      <c r="A10" s="15" t="s">
        <v>20</v>
      </c>
      <c r="B10" s="3" t="s">
        <v>1</v>
      </c>
      <c r="C10" s="7" t="s">
        <v>26</v>
      </c>
      <c r="D10" s="20" t="s">
        <v>76</v>
      </c>
    </row>
    <row r="11" spans="1:5" x14ac:dyDescent="0.35">
      <c r="A11" s="19" t="s">
        <v>21</v>
      </c>
      <c r="B11" s="23" t="s">
        <v>1</v>
      </c>
      <c r="C11" s="10" t="s">
        <v>26</v>
      </c>
      <c r="D11" s="21"/>
      <c r="E11" s="23"/>
    </row>
    <row r="12" spans="1:5" x14ac:dyDescent="0.35">
      <c r="A12" s="19" t="s">
        <v>22</v>
      </c>
      <c r="B12" s="23" t="s">
        <v>1</v>
      </c>
      <c r="C12" s="10" t="s">
        <v>26</v>
      </c>
      <c r="D12" s="21"/>
      <c r="E12" s="23"/>
    </row>
    <row r="13" spans="1:5" x14ac:dyDescent="0.35">
      <c r="A13" s="19" t="s">
        <v>23</v>
      </c>
      <c r="B13" s="23" t="s">
        <v>27</v>
      </c>
      <c r="C13" s="10" t="s">
        <v>26</v>
      </c>
      <c r="D13" s="21"/>
      <c r="E13" s="23"/>
    </row>
    <row r="14" spans="1:5" ht="29" x14ac:dyDescent="0.35">
      <c r="A14" s="15" t="s">
        <v>2</v>
      </c>
      <c r="B14" s="3" t="s">
        <v>27</v>
      </c>
      <c r="C14" s="3" t="s">
        <v>25</v>
      </c>
      <c r="D14" s="20" t="s">
        <v>41</v>
      </c>
    </row>
    <row r="15" spans="1:5" ht="43.5" x14ac:dyDescent="0.35">
      <c r="A15" s="15" t="s">
        <v>77</v>
      </c>
      <c r="B15" s="3" t="s">
        <v>27</v>
      </c>
      <c r="C15" s="3" t="s">
        <v>67</v>
      </c>
      <c r="D15" s="20" t="s">
        <v>78</v>
      </c>
    </row>
    <row r="16" spans="1:5" ht="29" x14ac:dyDescent="0.35">
      <c r="A16" s="15" t="s">
        <v>34</v>
      </c>
      <c r="B16" s="3" t="s">
        <v>27</v>
      </c>
      <c r="C16" s="3" t="s">
        <v>25</v>
      </c>
      <c r="D16" s="20" t="s">
        <v>79</v>
      </c>
    </row>
    <row r="17" spans="1:4" ht="29" x14ac:dyDescent="0.35">
      <c r="A17" s="15" t="s">
        <v>80</v>
      </c>
      <c r="B17" s="3" t="s">
        <v>27</v>
      </c>
      <c r="C17" s="3" t="s">
        <v>67</v>
      </c>
      <c r="D17" s="20" t="s">
        <v>81</v>
      </c>
    </row>
    <row r="18" spans="1:4" x14ac:dyDescent="0.35">
      <c r="A18" s="15" t="s">
        <v>35</v>
      </c>
      <c r="B18" s="3" t="s">
        <v>6</v>
      </c>
      <c r="C18" s="7" t="s">
        <v>26</v>
      </c>
      <c r="D18" s="4" t="s">
        <v>44</v>
      </c>
    </row>
    <row r="19" spans="1:4" x14ac:dyDescent="0.35">
      <c r="A19" s="15" t="s">
        <v>36</v>
      </c>
      <c r="B19" s="3" t="s">
        <v>6</v>
      </c>
      <c r="C19" s="7" t="s">
        <v>26</v>
      </c>
      <c r="D19" s="4" t="s">
        <v>45</v>
      </c>
    </row>
    <row r="20" spans="1:4" x14ac:dyDescent="0.35">
      <c r="A20" s="15" t="s">
        <v>5</v>
      </c>
      <c r="B20" s="3" t="s">
        <v>7</v>
      </c>
      <c r="C20" s="7" t="s">
        <v>26</v>
      </c>
      <c r="D20" s="4" t="s">
        <v>52</v>
      </c>
    </row>
    <row r="21" spans="1:4" x14ac:dyDescent="0.35">
      <c r="A21" s="15" t="s">
        <v>37</v>
      </c>
      <c r="B21" s="3" t="s">
        <v>8</v>
      </c>
      <c r="C21" s="7" t="s">
        <v>26</v>
      </c>
      <c r="D21" s="4" t="s">
        <v>47</v>
      </c>
    </row>
    <row r="22" spans="1:4" x14ac:dyDescent="0.35">
      <c r="A22" s="15" t="s">
        <v>38</v>
      </c>
      <c r="B22" s="3" t="s">
        <v>8</v>
      </c>
      <c r="C22" s="7" t="s">
        <v>26</v>
      </c>
      <c r="D22" s="4" t="s">
        <v>48</v>
      </c>
    </row>
    <row r="23" spans="1:4" ht="58" x14ac:dyDescent="0.35">
      <c r="A23" s="15" t="s">
        <v>9</v>
      </c>
      <c r="B23" s="3" t="s">
        <v>27</v>
      </c>
      <c r="C23" s="3" t="s">
        <v>25</v>
      </c>
      <c r="D23" s="20" t="s">
        <v>63</v>
      </c>
    </row>
    <row r="24" spans="1:4" x14ac:dyDescent="0.35">
      <c r="A24" s="15" t="s">
        <v>10</v>
      </c>
      <c r="B24" s="3" t="s">
        <v>14</v>
      </c>
      <c r="C24" s="3" t="s">
        <v>26</v>
      </c>
      <c r="D24" s="20" t="s">
        <v>64</v>
      </c>
    </row>
    <row r="25" spans="1:4" x14ac:dyDescent="0.35">
      <c r="A25" s="15" t="s">
        <v>11</v>
      </c>
      <c r="B25" s="3" t="s">
        <v>14</v>
      </c>
      <c r="C25" s="3" t="s">
        <v>26</v>
      </c>
      <c r="D25" s="20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2DA684-E046-4454-9EDF-769976B0E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</vt:lpstr>
      <vt:lpstr>STACK</vt:lpstr>
      <vt:lpstr>STR_MIX</vt:lpstr>
      <vt:lpstr>STR_STAB</vt:lpstr>
      <vt:lpstr>Z_JACKET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2019-12-21T10:11:12Z</dcterms:created>
  <dcterms:modified xsi:type="dcterms:W3CDTF">2025-11-10T15:39:52Z</dcterms:modified>
</cp:coreProperties>
</file>