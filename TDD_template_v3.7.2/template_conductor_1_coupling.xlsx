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e.Placido\3D Objects\OPENSC2\TDD_template_v3.7.2\"/>
    </mc:Choice>
  </mc:AlternateContent>
  <xr:revisionPtr revIDLastSave="0" documentId="13_ncr:1_{ED1F0D73-A987-4CFE-877A-749BDB1BB2B9}" xr6:coauthVersionLast="47" xr6:coauthVersionMax="47" xr10:uidLastSave="{00000000-0000-0000-0000-000000000000}"/>
  <bookViews>
    <workbookView xWindow="-110" yWindow="-110" windowWidth="19420" windowHeight="10420" tabRatio="663" firstSheet="8" activeTab="11" xr2:uid="{91AAA46A-E77A-4CF9-A2A6-D526EB86D7B9}"/>
  </bookViews>
  <sheets>
    <sheet name="contact_perimeter_flag" sheetId="8" r:id="rId1"/>
    <sheet name="contact_perimeter" sheetId="1" r:id="rId2"/>
    <sheet name="HTC_choice" sheetId="4" r:id="rId3"/>
    <sheet name="contact_HTC" sheetId="2" r:id="rId4"/>
    <sheet name="thermal_contact_resistance" sheetId="10" r:id="rId5"/>
    <sheet name="HTC_multiplier" sheetId="5" r:id="rId6"/>
    <sheet name="electric_conductance_mode" sheetId="11" r:id="rId7"/>
    <sheet name="electric_conductance" sheetId="12" r:id="rId8"/>
    <sheet name="open_perimeter_fract" sheetId="3" r:id="rId9"/>
    <sheet name="interf_thickness" sheetId="7" r:id="rId10"/>
    <sheet name="trans_transp_multiplier" sheetId="6" r:id="rId11"/>
    <sheet name="view_factor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2" l="1"/>
  <c r="B2" i="12"/>
  <c r="A3" i="11"/>
  <c r="B2" i="11"/>
  <c r="B2" i="10"/>
  <c r="A3" i="10" s="1"/>
  <c r="B2" i="1" l="1"/>
  <c r="A3" i="1" s="1"/>
  <c r="B2" i="9"/>
  <c r="A3" i="9" s="1"/>
  <c r="B2" i="6"/>
  <c r="A3" i="6" s="1"/>
  <c r="B2" i="7"/>
  <c r="A3" i="7" s="1"/>
  <c r="B2" i="3"/>
  <c r="A3" i="3" s="1"/>
  <c r="B2" i="5"/>
  <c r="A3" i="5" s="1"/>
  <c r="B2" i="2"/>
  <c r="A3" i="2" s="1"/>
  <c r="B2" i="4"/>
  <c r="A3" i="4" s="1"/>
  <c r="A3" i="8"/>
</calcChain>
</file>

<file path=xl/sharedStrings.xml><?xml version="1.0" encoding="utf-8"?>
<sst xmlns="http://schemas.openxmlformats.org/spreadsheetml/2006/main" count="13" uniqueCount="13">
  <si>
    <t>[%] Fraction of the contact perimeter between fluid elements which is actually open</t>
  </si>
  <si>
    <t>[%] Multiplier for the transport properties in the open fraction of the perimeter between fluid elements</t>
  </si>
  <si>
    <t>[m] Thickness of the interface between fluid elements</t>
  </si>
  <si>
    <t>% [W/m2K] Value for the heat transfer coefficient, if constant</t>
  </si>
  <si>
    <t>% [] Value for the multiplier for the heat transfer coefficient, when needed</t>
  </si>
  <si>
    <t>% [m] wetted/contact perimeter</t>
  </si>
  <si>
    <t>% [-] wetted/contact perimeter flags</t>
  </si>
  <si>
    <t>%[] flag to define the model to compute the HTC (yellow cells are those to thake into account). flag to decide how to evaluate interface htc.</t>
  </si>
  <si>
    <t>[%] View factors between jackets to evaluate radiative heating</t>
  </si>
  <si>
    <t>Environment</t>
  </si>
  <si>
    <t>[m2K/W] thermal contact resistance between soldi component, should be &gt;= 0; used if flag HTC_choice is 1</t>
  </si>
  <si>
    <t>Flag to specify the kind of electric conductance: 1 conductance per unit length (the contact is along a line as for tow cilinder); 2 = actual conductance between components.</t>
  </si>
  <si>
    <t>[S/m] Value of the electric_conductance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</si>
</sst>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 applyProtection="1">
      <alignment horizontal="left" vertical="center" wrapText="1"/>
      <protection locked="0"/>
    </xf>
    <xf numFmtId="0" fontId="1" fillId="0" borderId="0" xfId="0" applyFont="1" applyFill="1"/>
    <xf numFmtId="0" fontId="0" fillId="0" borderId="0" xfId="0" applyFill="1" applyProtection="1">
      <protection locked="0"/>
    </xf>
    <xf numFmtId="0" fontId="1" fillId="0" borderId="0" xfId="0" applyFont="1" applyFill="1" applyProtection="1">
      <protection locked="0"/>
    </xf>
    <xf numFmtId="0" fontId="3" fillId="0" borderId="0" xfId="0" applyFont="1" applyFill="1" applyProtection="1">
      <protection locked="0"/>
    </xf>
    <xf numFmtId="0" fontId="0" fillId="0" borderId="0" xfId="0" applyFill="1" applyAlignment="1">
      <alignment horizontal="center"/>
    </xf>
    <xf numFmtId="11" fontId="0" fillId="0" borderId="0" xfId="0" applyNumberFormat="1" applyFill="1" applyProtection="1">
      <protection locked="0"/>
    </xf>
    <xf numFmtId="2" fontId="0" fillId="0" borderId="0" xfId="1" applyNumberFormat="1" applyFont="1" applyFill="1" applyProtection="1">
      <protection locked="0"/>
    </xf>
    <xf numFmtId="0" fontId="0" fillId="0" borderId="0" xfId="0" applyFill="1"/>
  </cellXfs>
  <cellStyles count="2">
    <cellStyle name="Normal" xfId="0" builtinId="0"/>
    <cellStyle name="Percent" xfId="1" builtinId="5"/>
  </cellStyles>
  <dxfs count="11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F8432-32B0-4782-8A41-3C8B7D94A95A}">
  <dimension ref="A1:F7"/>
  <sheetViews>
    <sheetView workbookViewId="0">
      <selection activeCell="C3" sqref="C3:F6"/>
    </sheetView>
  </sheetViews>
  <sheetFormatPr defaultColWidth="8.81640625" defaultRowHeight="14.5" x14ac:dyDescent="0.35"/>
  <cols>
    <col min="1" max="2" width="13.54296875" style="1" bestFit="1" customWidth="1"/>
    <col min="3" max="4" width="7.54296875" style="1" bestFit="1" customWidth="1"/>
    <col min="5" max="5" width="10.1796875" style="1" bestFit="1" customWidth="1"/>
    <col min="6" max="6" width="10.81640625" style="1" bestFit="1" customWidth="1"/>
    <col min="7" max="16384" width="8.81640625" style="1"/>
  </cols>
  <sheetData>
    <row r="1" spans="1:6" x14ac:dyDescent="0.35">
      <c r="C1" s="1" t="s">
        <v>6</v>
      </c>
    </row>
    <row r="2" spans="1:6" x14ac:dyDescent="0.35">
      <c r="A2" s="2"/>
      <c r="B2" s="3" t="s">
        <v>9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C4" s="7"/>
      <c r="D4" s="7"/>
      <c r="E4" s="7"/>
      <c r="F4" s="7"/>
    </row>
    <row r="5" spans="1:6" x14ac:dyDescent="0.35">
      <c r="A5" s="6"/>
      <c r="C5" s="7"/>
      <c r="D5" s="7"/>
      <c r="E5" s="7"/>
      <c r="F5" s="7"/>
    </row>
    <row r="6" spans="1:6" x14ac:dyDescent="0.35">
      <c r="A6" s="6"/>
      <c r="C6" s="7"/>
      <c r="D6" s="7"/>
      <c r="E6" s="7"/>
      <c r="F6" s="7"/>
    </row>
    <row r="7" spans="1:6" x14ac:dyDescent="0.35">
      <c r="A7" s="6"/>
      <c r="C7" s="7"/>
      <c r="D7" s="7"/>
      <c r="E7" s="7"/>
      <c r="F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7BE0-CB95-4186-8582-DA069D805E4E}">
  <dimension ref="A1:G7"/>
  <sheetViews>
    <sheetView workbookViewId="0">
      <selection activeCell="H8" sqref="H8:H9"/>
    </sheetView>
  </sheetViews>
  <sheetFormatPr defaultColWidth="8.81640625" defaultRowHeight="14.5" x14ac:dyDescent="0.35"/>
  <cols>
    <col min="1" max="2" width="13.54296875" style="2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7" x14ac:dyDescent="0.35">
      <c r="C1" s="1" t="s">
        <v>5</v>
      </c>
    </row>
    <row r="2" spans="1:7" s="2" customFormat="1" x14ac:dyDescent="0.35">
      <c r="B2" s="3" t="str">
        <f>contact_perimeter_flag!B2</f>
        <v>Environment</v>
      </c>
      <c r="C2" s="6"/>
      <c r="D2" s="6"/>
      <c r="E2" s="6"/>
      <c r="F2" s="6"/>
    </row>
    <row r="3" spans="1:7" s="2" customFormat="1" x14ac:dyDescent="0.35">
      <c r="A3" s="3" t="str">
        <f>B2</f>
        <v>Environment</v>
      </c>
      <c r="B3" s="1">
        <v>0</v>
      </c>
      <c r="C3" s="1"/>
      <c r="D3" s="1"/>
      <c r="E3" s="7"/>
      <c r="F3" s="7"/>
      <c r="G3" s="8"/>
    </row>
    <row r="4" spans="1:7" x14ac:dyDescent="0.35">
      <c r="A4" s="6"/>
      <c r="B4" s="1"/>
      <c r="D4" s="7"/>
      <c r="E4" s="7"/>
      <c r="F4" s="7"/>
      <c r="G4" s="7"/>
    </row>
    <row r="5" spans="1:7" x14ac:dyDescent="0.35">
      <c r="A5" s="6"/>
      <c r="B5" s="1"/>
      <c r="E5" s="7"/>
      <c r="F5" s="7"/>
      <c r="G5" s="7"/>
    </row>
    <row r="6" spans="1:7" x14ac:dyDescent="0.35">
      <c r="A6" s="6"/>
      <c r="B6" s="1"/>
      <c r="E6" s="7"/>
      <c r="F6" s="7"/>
      <c r="G6" s="7"/>
    </row>
    <row r="7" spans="1:7" x14ac:dyDescent="0.35">
      <c r="A7" s="6"/>
      <c r="B7" s="1"/>
      <c r="E7" s="7"/>
      <c r="F7" s="7"/>
      <c r="G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609-93E2-44D0-85E0-B7F0CB6C85BD}">
  <dimension ref="A1:F7"/>
  <sheetViews>
    <sheetView workbookViewId="0">
      <selection activeCell="K7" sqref="K7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ht="103.4" customHeight="1" x14ac:dyDescent="0.35">
      <c r="C1" s="5" t="s">
        <v>7</v>
      </c>
      <c r="D1" s="5"/>
      <c r="E1" s="5"/>
      <c r="F1" s="5"/>
    </row>
    <row r="2" spans="1:6" x14ac:dyDescent="0.35">
      <c r="A2" s="2"/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9"/>
      <c r="D4" s="7"/>
      <c r="E4" s="7"/>
      <c r="F4" s="7"/>
    </row>
    <row r="5" spans="1:6" x14ac:dyDescent="0.35">
      <c r="A5" s="6"/>
      <c r="B5" s="7"/>
      <c r="C5" s="7"/>
      <c r="D5" s="9"/>
      <c r="E5" s="7"/>
      <c r="F5" s="7"/>
    </row>
    <row r="6" spans="1:6" x14ac:dyDescent="0.35">
      <c r="A6" s="6"/>
      <c r="B6" s="7"/>
      <c r="C6" s="7"/>
      <c r="D6" s="7"/>
      <c r="E6" s="7"/>
      <c r="F6" s="7"/>
    </row>
    <row r="7" spans="1:6" x14ac:dyDescent="0.35">
      <c r="A7" s="6"/>
      <c r="B7" s="7"/>
      <c r="C7" s="7"/>
      <c r="D7" s="7"/>
      <c r="E7" s="7"/>
      <c r="F7" s="7"/>
    </row>
  </sheetData>
  <sheetProtection formatCells="0" formatColumns="0" formatRows="0" insertColumns="0" insertRows="0" insertHyperlinks="0" deleteColumns="0" deleteRows="0" sort="0" autoFilter="0" pivotTables="0"/>
  <mergeCells count="1">
    <mergeCell ref="C1:F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B995-3590-4E28-8701-A823419A209A}">
  <dimension ref="A1:F7"/>
  <sheetViews>
    <sheetView workbookViewId="0">
      <selection activeCell="A4" sqref="A4:B7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3</v>
      </c>
    </row>
    <row r="2" spans="1:6" x14ac:dyDescent="0.35">
      <c r="A2" s="2"/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7"/>
      <c r="D4" s="7"/>
      <c r="E4" s="7"/>
      <c r="F4" s="7"/>
    </row>
    <row r="5" spans="1:6" x14ac:dyDescent="0.35">
      <c r="A5" s="6"/>
      <c r="B5" s="7"/>
      <c r="C5" s="7"/>
      <c r="D5" s="7"/>
      <c r="E5" s="7"/>
      <c r="F5" s="7"/>
    </row>
    <row r="6" spans="1:6" x14ac:dyDescent="0.35">
      <c r="A6" s="6"/>
      <c r="B6" s="7"/>
      <c r="C6" s="7"/>
      <c r="D6" s="7"/>
      <c r="E6" s="7"/>
      <c r="F6" s="7"/>
    </row>
    <row r="7" spans="1:6" x14ac:dyDescent="0.35">
      <c r="A7" s="6"/>
      <c r="B7" s="7"/>
      <c r="C7" s="7"/>
      <c r="D7" s="7"/>
      <c r="E7" s="7"/>
      <c r="F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9D30-2F55-48C2-BE9B-5BE9A7CD8793}">
  <dimension ref="A1:F7"/>
  <sheetViews>
    <sheetView workbookViewId="0">
      <selection activeCell="A4" sqref="A4:B7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0.7265625" bestFit="1" customWidth="1"/>
    <col min="6" max="6" width="11.26953125" bestFit="1" customWidth="1"/>
  </cols>
  <sheetData>
    <row r="1" spans="1:6" x14ac:dyDescent="0.35">
      <c r="C1" t="s">
        <v>10</v>
      </c>
    </row>
    <row r="2" spans="1:6" x14ac:dyDescent="0.35"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4">
        <v>0</v>
      </c>
      <c r="C3" s="10"/>
      <c r="D3" s="10"/>
      <c r="E3" s="10"/>
      <c r="F3" s="10"/>
    </row>
    <row r="4" spans="1:6" x14ac:dyDescent="0.35">
      <c r="A4" s="6"/>
      <c r="B4" s="10"/>
      <c r="C4" s="10"/>
      <c r="D4" s="10"/>
      <c r="E4" s="10"/>
      <c r="F4" s="10"/>
    </row>
    <row r="5" spans="1:6" x14ac:dyDescent="0.35">
      <c r="A5" s="6"/>
      <c r="B5" s="10"/>
      <c r="C5" s="10"/>
      <c r="D5" s="10"/>
      <c r="E5" s="10"/>
      <c r="F5" s="10"/>
    </row>
    <row r="6" spans="1:6" x14ac:dyDescent="0.35">
      <c r="A6" s="6"/>
      <c r="B6" s="10"/>
      <c r="C6" s="10"/>
      <c r="D6" s="10"/>
      <c r="E6" s="10"/>
      <c r="F6" s="10"/>
    </row>
    <row r="7" spans="1:6" x14ac:dyDescent="0.35">
      <c r="A7" s="6"/>
      <c r="B7" s="10"/>
      <c r="C7" s="10"/>
      <c r="D7" s="10"/>
      <c r="E7" s="10"/>
      <c r="F7" s="10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F123C-7F60-4807-AE29-ECD4FCE24EA7}">
  <dimension ref="A1:F7"/>
  <sheetViews>
    <sheetView workbookViewId="0">
      <selection activeCell="D3" sqref="D3:G7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4</v>
      </c>
    </row>
    <row r="2" spans="1:6" x14ac:dyDescent="0.35">
      <c r="A2" s="2"/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7"/>
      <c r="D4" s="7"/>
      <c r="E4" s="7"/>
      <c r="F4" s="7"/>
    </row>
    <row r="5" spans="1:6" x14ac:dyDescent="0.35">
      <c r="A5" s="6"/>
      <c r="B5" s="7"/>
      <c r="C5" s="7"/>
      <c r="D5" s="7"/>
      <c r="E5" s="7"/>
      <c r="F5" s="7"/>
    </row>
    <row r="6" spans="1:6" x14ac:dyDescent="0.35">
      <c r="A6" s="6"/>
      <c r="B6" s="7"/>
      <c r="C6" s="7"/>
      <c r="D6" s="7"/>
      <c r="E6" s="7"/>
      <c r="F6" s="7"/>
    </row>
    <row r="7" spans="1:6" x14ac:dyDescent="0.35">
      <c r="A7" s="6"/>
      <c r="B7" s="7"/>
      <c r="C7" s="7"/>
      <c r="D7" s="7"/>
      <c r="E7" s="7"/>
      <c r="F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93F0-40AE-4717-81EF-811E4283AACB}">
  <dimension ref="A1:F7"/>
  <sheetViews>
    <sheetView workbookViewId="0">
      <selection activeCell="A4" sqref="A4:B7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0.7265625" bestFit="1" customWidth="1"/>
    <col min="6" max="6" width="11.26953125" bestFit="1" customWidth="1"/>
  </cols>
  <sheetData>
    <row r="1" spans="1:6" x14ac:dyDescent="0.35">
      <c r="C1" t="s">
        <v>11</v>
      </c>
    </row>
    <row r="2" spans="1:6" x14ac:dyDescent="0.35"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4">
        <v>0</v>
      </c>
      <c r="C3" s="10"/>
      <c r="D3" s="10"/>
      <c r="E3" s="10"/>
      <c r="F3" s="10"/>
    </row>
    <row r="4" spans="1:6" x14ac:dyDescent="0.35">
      <c r="A4" s="6"/>
      <c r="B4" s="10"/>
      <c r="C4" s="10"/>
      <c r="D4" s="10"/>
      <c r="E4" s="10"/>
      <c r="F4" s="10"/>
    </row>
    <row r="5" spans="1:6" x14ac:dyDescent="0.35">
      <c r="A5" s="6"/>
      <c r="B5" s="10"/>
      <c r="C5" s="10"/>
      <c r="D5" s="10"/>
      <c r="E5" s="10"/>
      <c r="F5" s="10"/>
    </row>
    <row r="6" spans="1:6" x14ac:dyDescent="0.35">
      <c r="A6" s="6"/>
      <c r="B6" s="10"/>
      <c r="C6" s="10"/>
      <c r="D6" s="10"/>
      <c r="E6" s="10"/>
      <c r="F6" s="10"/>
    </row>
    <row r="7" spans="1:6" x14ac:dyDescent="0.35">
      <c r="A7" s="6"/>
      <c r="B7" s="10"/>
      <c r="C7" s="10"/>
      <c r="D7" s="10"/>
      <c r="E7" s="10"/>
      <c r="F7" s="10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8AF8-C0A1-4C4B-9882-4C8E380BC3C6}">
  <dimension ref="A1:F7"/>
  <sheetViews>
    <sheetView workbookViewId="0">
      <selection activeCell="A4" sqref="A4:B7"/>
    </sheetView>
  </sheetViews>
  <sheetFormatPr defaultRowHeight="14.5" x14ac:dyDescent="0.35"/>
  <cols>
    <col min="1" max="2" width="12.453125" bestFit="1" customWidth="1"/>
    <col min="3" max="4" width="8.1796875" bestFit="1" customWidth="1"/>
    <col min="5" max="5" width="10.7265625" bestFit="1" customWidth="1"/>
    <col min="6" max="6" width="11.26953125" bestFit="1" customWidth="1"/>
  </cols>
  <sheetData>
    <row r="1" spans="1:6" x14ac:dyDescent="0.35">
      <c r="C1" t="s">
        <v>12</v>
      </c>
    </row>
    <row r="2" spans="1:6" x14ac:dyDescent="0.35"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4">
        <v>0</v>
      </c>
      <c r="C3" s="10"/>
      <c r="D3" s="10"/>
      <c r="E3" s="10"/>
      <c r="F3" s="10"/>
    </row>
    <row r="4" spans="1:6" x14ac:dyDescent="0.35">
      <c r="A4" s="6"/>
      <c r="B4" s="10"/>
      <c r="C4" s="10"/>
      <c r="D4" s="10"/>
      <c r="E4" s="10"/>
      <c r="F4" s="10"/>
    </row>
    <row r="5" spans="1:6" x14ac:dyDescent="0.35">
      <c r="A5" s="6"/>
      <c r="B5" s="10"/>
      <c r="C5" s="10"/>
      <c r="D5" s="10"/>
      <c r="E5" s="10"/>
      <c r="F5" s="10"/>
    </row>
    <row r="6" spans="1:6" x14ac:dyDescent="0.35">
      <c r="A6" s="6"/>
      <c r="B6" s="10"/>
      <c r="C6" s="10"/>
      <c r="D6" s="10"/>
      <c r="E6" s="10"/>
      <c r="F6" s="10"/>
    </row>
    <row r="7" spans="1:6" x14ac:dyDescent="0.35">
      <c r="A7" s="6"/>
      <c r="B7" s="10"/>
      <c r="C7" s="10"/>
      <c r="D7" s="10"/>
      <c r="E7" s="10"/>
      <c r="F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E1EA-762F-42F4-ACD0-F98E1885F191}">
  <dimension ref="A1:F8"/>
  <sheetViews>
    <sheetView workbookViewId="0">
      <selection activeCell="A4" sqref="A4:C8"/>
    </sheetView>
  </sheetViews>
  <sheetFormatPr defaultColWidth="8.81640625" defaultRowHeight="14.5" x14ac:dyDescent="0.35"/>
  <cols>
    <col min="1" max="2" width="13.54296875" style="1" bestFit="1" customWidth="1"/>
    <col min="3" max="3" width="7.81640625" style="1" bestFit="1" customWidth="1"/>
    <col min="4" max="4" width="8.4531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0</v>
      </c>
    </row>
    <row r="2" spans="1:6" x14ac:dyDescent="0.35">
      <c r="A2" s="2"/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7"/>
      <c r="D4" s="11"/>
      <c r="E4" s="7"/>
      <c r="F4" s="7"/>
    </row>
    <row r="5" spans="1:6" x14ac:dyDescent="0.35">
      <c r="A5" s="6"/>
      <c r="B5" s="7"/>
      <c r="C5" s="7"/>
      <c r="D5" s="9"/>
      <c r="E5" s="7"/>
      <c r="F5" s="7"/>
    </row>
    <row r="6" spans="1:6" x14ac:dyDescent="0.35">
      <c r="A6" s="6"/>
      <c r="B6" s="7"/>
      <c r="C6" s="7"/>
      <c r="D6" s="7"/>
      <c r="E6" s="7"/>
      <c r="F6" s="7"/>
    </row>
    <row r="7" spans="1:6" x14ac:dyDescent="0.35">
      <c r="A7" s="6"/>
      <c r="B7" s="7"/>
      <c r="C7" s="7"/>
      <c r="D7" s="7"/>
      <c r="E7" s="7"/>
      <c r="F7" s="7"/>
    </row>
    <row r="8" spans="1:6" x14ac:dyDescent="0.35">
      <c r="A8" s="7"/>
      <c r="B8" s="7"/>
      <c r="C8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8F7F-A8D7-4239-AF85-1CCD06F5862A}">
  <dimension ref="A1:F8"/>
  <sheetViews>
    <sheetView workbookViewId="0">
      <selection activeCell="A4" sqref="A4:C8"/>
    </sheetView>
  </sheetViews>
  <sheetFormatPr defaultColWidth="8.81640625" defaultRowHeight="14.5" x14ac:dyDescent="0.35"/>
  <cols>
    <col min="1" max="2" width="13.54296875" style="1" bestFit="1" customWidth="1"/>
    <col min="3" max="3" width="7.81640625" style="1" bestFit="1" customWidth="1"/>
    <col min="4" max="4" width="8.363281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2</v>
      </c>
    </row>
    <row r="2" spans="1:6" x14ac:dyDescent="0.35">
      <c r="A2" s="2"/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7"/>
      <c r="D4" s="11"/>
      <c r="E4" s="7"/>
      <c r="F4" s="7"/>
    </row>
    <row r="5" spans="1:6" x14ac:dyDescent="0.35">
      <c r="A5" s="6"/>
      <c r="B5" s="7"/>
      <c r="C5" s="7"/>
      <c r="D5" s="7"/>
      <c r="E5" s="7"/>
      <c r="F5" s="7"/>
    </row>
    <row r="6" spans="1:6" x14ac:dyDescent="0.35">
      <c r="A6" s="6"/>
      <c r="B6" s="7"/>
      <c r="C6" s="7"/>
      <c r="D6" s="7"/>
      <c r="E6" s="7"/>
      <c r="F6" s="7"/>
    </row>
    <row r="7" spans="1:6" x14ac:dyDescent="0.35">
      <c r="A7" s="6"/>
      <c r="B7" s="7"/>
      <c r="C7" s="7"/>
      <c r="D7" s="7"/>
      <c r="E7" s="7"/>
      <c r="F7" s="7"/>
    </row>
    <row r="8" spans="1:6" x14ac:dyDescent="0.35">
      <c r="A8" s="7"/>
      <c r="B8" s="7"/>
      <c r="C8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3B1F8-15BE-471B-8C90-C91254905B72}">
  <dimension ref="A1:F7"/>
  <sheetViews>
    <sheetView workbookViewId="0">
      <selection activeCell="A4" sqref="A4:C7"/>
    </sheetView>
  </sheetViews>
  <sheetFormatPr defaultColWidth="8.81640625" defaultRowHeight="14.5" x14ac:dyDescent="0.35"/>
  <cols>
    <col min="1" max="2" width="13.54296875" style="1" bestFit="1" customWidth="1"/>
    <col min="3" max="4" width="7.81640625" style="1" bestFit="1" customWidth="1"/>
    <col min="5" max="5" width="10.54296875" style="1" bestFit="1" customWidth="1"/>
    <col min="6" max="6" width="11.1796875" style="1" bestFit="1" customWidth="1"/>
    <col min="7" max="16384" width="8.81640625" style="1"/>
  </cols>
  <sheetData>
    <row r="1" spans="1:6" x14ac:dyDescent="0.35">
      <c r="C1" s="1" t="s">
        <v>1</v>
      </c>
    </row>
    <row r="2" spans="1:6" x14ac:dyDescent="0.35">
      <c r="A2" s="2"/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7"/>
      <c r="D4" s="12"/>
      <c r="E4" s="7"/>
      <c r="F4" s="7"/>
    </row>
    <row r="5" spans="1:6" x14ac:dyDescent="0.35">
      <c r="A5" s="6"/>
      <c r="B5" s="7"/>
      <c r="C5" s="7"/>
      <c r="D5" s="7"/>
      <c r="E5" s="7"/>
      <c r="F5" s="7"/>
    </row>
    <row r="6" spans="1:6" x14ac:dyDescent="0.35">
      <c r="A6" s="6"/>
      <c r="B6" s="7"/>
      <c r="C6" s="7"/>
      <c r="D6" s="7"/>
      <c r="E6" s="7"/>
      <c r="F6" s="7"/>
    </row>
    <row r="7" spans="1:6" x14ac:dyDescent="0.35">
      <c r="A7" s="6"/>
      <c r="B7" s="7"/>
      <c r="C7" s="7"/>
      <c r="D7" s="7"/>
      <c r="E7" s="7"/>
      <c r="F7" s="7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28F5-9BDA-4746-9BD5-872CA60F8FA3}">
  <dimension ref="A1:F7"/>
  <sheetViews>
    <sheetView tabSelected="1" workbookViewId="0">
      <selection activeCell="F6" sqref="F6"/>
    </sheetView>
  </sheetViews>
  <sheetFormatPr defaultRowHeight="14.5" x14ac:dyDescent="0.35"/>
  <cols>
    <col min="1" max="2" width="13.54296875" bestFit="1" customWidth="1"/>
    <col min="3" max="4" width="7.54296875" bestFit="1" customWidth="1"/>
    <col min="5" max="5" width="10.1796875" bestFit="1" customWidth="1"/>
    <col min="6" max="6" width="10.54296875" bestFit="1" customWidth="1"/>
  </cols>
  <sheetData>
    <row r="1" spans="1:6" x14ac:dyDescent="0.35">
      <c r="C1" t="s">
        <v>8</v>
      </c>
    </row>
    <row r="2" spans="1:6" x14ac:dyDescent="0.35">
      <c r="B2" s="3" t="str">
        <f>contact_perimeter_flag!B2</f>
        <v>Environment</v>
      </c>
      <c r="C2" s="6"/>
      <c r="D2" s="6"/>
      <c r="E2" s="6"/>
      <c r="F2" s="6"/>
    </row>
    <row r="3" spans="1:6" x14ac:dyDescent="0.35">
      <c r="A3" s="3" t="str">
        <f>B2</f>
        <v>Environment</v>
      </c>
      <c r="B3" s="1">
        <v>0</v>
      </c>
      <c r="C3" s="7"/>
      <c r="D3" s="7"/>
      <c r="E3" s="7"/>
      <c r="F3" s="7"/>
    </row>
    <row r="4" spans="1:6" x14ac:dyDescent="0.35">
      <c r="A4" s="6"/>
      <c r="B4" s="7"/>
      <c r="C4" s="13"/>
      <c r="D4" s="13"/>
      <c r="E4" s="13"/>
      <c r="F4" s="13"/>
    </row>
    <row r="5" spans="1:6" x14ac:dyDescent="0.35">
      <c r="A5" s="6"/>
      <c r="B5" s="7"/>
      <c r="C5" s="13"/>
      <c r="D5" s="13"/>
      <c r="E5" s="13"/>
      <c r="F5" s="13"/>
    </row>
    <row r="6" spans="1:6" x14ac:dyDescent="0.35">
      <c r="A6" s="6"/>
      <c r="B6" s="7"/>
      <c r="C6" s="13"/>
      <c r="D6" s="13"/>
      <c r="E6" s="13"/>
      <c r="F6" s="13"/>
    </row>
    <row r="7" spans="1:6" x14ac:dyDescent="0.35">
      <c r="A7" s="6"/>
      <c r="B7" s="7"/>
      <c r="C7" s="13"/>
      <c r="D7" s="13"/>
      <c r="E7" s="13"/>
      <c r="F7" s="1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contact_perimeter_flag</vt:lpstr>
      <vt:lpstr>contact_perimeter</vt:lpstr>
      <vt:lpstr>HTC_choice</vt:lpstr>
      <vt:lpstr>contact_HTC</vt:lpstr>
      <vt:lpstr>thermal_contact_resistance</vt:lpstr>
      <vt:lpstr>HTC_multiplier</vt:lpstr>
      <vt:lpstr>electric_conductance_mode</vt:lpstr>
      <vt:lpstr>electric_conductance</vt:lpstr>
      <vt:lpstr>open_perimeter_fract</vt:lpstr>
      <vt:lpstr>interf_thickness</vt:lpstr>
      <vt:lpstr>trans_transp_multiplier</vt:lpstr>
      <vt:lpstr>view_factors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2019-12-16T12:57:36Z</dcterms:created>
  <dcterms:modified xsi:type="dcterms:W3CDTF">2025-11-10T15:34:53Z</dcterms:modified>
</cp:coreProperties>
</file>