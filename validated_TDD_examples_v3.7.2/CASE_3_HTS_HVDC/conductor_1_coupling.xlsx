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2/MIT_Polito/input_files/CASE_3_HTS_HVDC_test_adapt_tstep/"/>
    </mc:Choice>
  </mc:AlternateContent>
  <xr:revisionPtr revIDLastSave="5" documentId="13_ncr:1_{D72986D2-6E60-400E-AF4B-28DB1824D6F5}" xr6:coauthVersionLast="47" xr6:coauthVersionMax="47" xr10:uidLastSave="{1F5DEF4F-1C9F-4759-8709-F20265960129}"/>
  <bookViews>
    <workbookView xWindow="-110" yWindow="-110" windowWidth="19420" windowHeight="10420" tabRatio="663" firstSheet="8" activeTab="11" xr2:uid="{91AAA46A-E77A-4CF9-A2A6-D526EB86D7B9}"/>
  </bookViews>
  <sheets>
    <sheet name="contact_perimeter_flag" sheetId="8" r:id="rId1"/>
    <sheet name="contact_perimeter" sheetId="1" r:id="rId2"/>
    <sheet name="HTC_choice" sheetId="4" r:id="rId3"/>
    <sheet name="contact_HTC" sheetId="2" r:id="rId4"/>
    <sheet name="thermal_contact_resistance" sheetId="10" r:id="rId5"/>
    <sheet name="HTC_multiplier" sheetId="5" r:id="rId6"/>
    <sheet name="electric_conductance_mode" sheetId="11" r:id="rId7"/>
    <sheet name="electric_conductance" sheetId="12" r:id="rId8"/>
    <sheet name="open_perimeter_fract" sheetId="3" r:id="rId9"/>
    <sheet name="interf_thickness" sheetId="7" r:id="rId10"/>
    <sheet name="trans_transp_multiplier" sheetId="6" r:id="rId11"/>
    <sheet name="view_factors" sheetId="9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2" l="1"/>
  <c r="B2" i="12"/>
  <c r="A3" i="11"/>
  <c r="B2" i="11"/>
  <c r="A3" i="10" l="1"/>
  <c r="B2" i="10"/>
  <c r="K3" i="1"/>
  <c r="K11" i="1"/>
  <c r="J10" i="1"/>
  <c r="H8" i="1"/>
  <c r="G7" i="1"/>
  <c r="I5" i="1"/>
  <c r="H5" i="1"/>
  <c r="F4" i="1"/>
  <c r="C8" i="6"/>
  <c r="D8" i="6"/>
  <c r="C9" i="6"/>
  <c r="D9" i="6"/>
  <c r="C10" i="6"/>
  <c r="D10" i="6"/>
  <c r="C11" i="6"/>
  <c r="D11" i="6"/>
  <c r="C12" i="6"/>
  <c r="D12" i="6"/>
  <c r="C8" i="7"/>
  <c r="D8" i="7"/>
  <c r="C9" i="7"/>
  <c r="D9" i="7"/>
  <c r="C10" i="7"/>
  <c r="D10" i="7"/>
  <c r="C11" i="7"/>
  <c r="D11" i="7"/>
  <c r="C12" i="7"/>
  <c r="D12" i="7"/>
  <c r="C8" i="3"/>
  <c r="D8" i="3"/>
  <c r="C9" i="3"/>
  <c r="D9" i="3"/>
  <c r="C10" i="3"/>
  <c r="D10" i="3"/>
  <c r="C11" i="3"/>
  <c r="D11" i="3"/>
  <c r="C12" i="3"/>
  <c r="D12" i="3"/>
  <c r="E4" i="1"/>
  <c r="C8" i="4"/>
  <c r="D8" i="4"/>
  <c r="C9" i="4"/>
  <c r="D9" i="4"/>
  <c r="C10" i="4"/>
  <c r="D10" i="4"/>
  <c r="C11" i="4"/>
  <c r="D11" i="4"/>
  <c r="C12" i="4"/>
  <c r="D12" i="4"/>
  <c r="C8" i="1"/>
  <c r="D8" i="1"/>
  <c r="C9" i="1"/>
  <c r="D9" i="1"/>
  <c r="C10" i="1"/>
  <c r="D10" i="1"/>
  <c r="C11" i="1"/>
  <c r="D11" i="1"/>
  <c r="C12" i="1"/>
  <c r="D12" i="1"/>
  <c r="E2" i="8"/>
  <c r="E2" i="10" s="1"/>
  <c r="A6" i="10" s="1"/>
  <c r="K2" i="8"/>
  <c r="K2" i="10" s="1"/>
  <c r="A12" i="10" s="1"/>
  <c r="G2" i="8"/>
  <c r="G2" i="10" s="1"/>
  <c r="A8" i="10" s="1"/>
  <c r="H2" i="8"/>
  <c r="H2" i="10" s="1"/>
  <c r="A9" i="10" s="1"/>
  <c r="I2" i="8"/>
  <c r="J2" i="8"/>
  <c r="F2" i="8"/>
  <c r="F2" i="10" s="1"/>
  <c r="A7" i="10" s="1"/>
  <c r="B2" i="1"/>
  <c r="A3" i="1" s="1"/>
  <c r="B2" i="9"/>
  <c r="A3" i="9" s="1"/>
  <c r="B2" i="6"/>
  <c r="A3" i="6" s="1"/>
  <c r="B2" i="7"/>
  <c r="A3" i="7" s="1"/>
  <c r="B2" i="3"/>
  <c r="A3" i="3" s="1"/>
  <c r="B2" i="5"/>
  <c r="A3" i="5" s="1"/>
  <c r="B2" i="2"/>
  <c r="A3" i="2" s="1"/>
  <c r="B2" i="4"/>
  <c r="A3" i="4" s="1"/>
  <c r="A3" i="8"/>
  <c r="D2" i="8"/>
  <c r="D2" i="10" s="1"/>
  <c r="A5" i="10" s="1"/>
  <c r="C2" i="8"/>
  <c r="C2" i="10" s="1"/>
  <c r="A4" i="10" s="1"/>
  <c r="J2" i="6" l="1"/>
  <c r="J2" i="12"/>
  <c r="A11" i="12" s="1"/>
  <c r="J2" i="11"/>
  <c r="A11" i="11" s="1"/>
  <c r="D2" i="9"/>
  <c r="A5" i="9" s="1"/>
  <c r="D2" i="12"/>
  <c r="A5" i="12" s="1"/>
  <c r="D2" i="11"/>
  <c r="A5" i="11" s="1"/>
  <c r="I2" i="2"/>
  <c r="I2" i="12"/>
  <c r="A10" i="12" s="1"/>
  <c r="I2" i="11"/>
  <c r="A10" i="11" s="1"/>
  <c r="E2" i="9"/>
  <c r="A6" i="9" s="1"/>
  <c r="E2" i="12"/>
  <c r="A6" i="12" s="1"/>
  <c r="E2" i="11"/>
  <c r="A6" i="11" s="1"/>
  <c r="H2" i="2"/>
  <c r="H2" i="11"/>
  <c r="A9" i="11" s="1"/>
  <c r="H2" i="12"/>
  <c r="A9" i="12" s="1"/>
  <c r="F2" i="9"/>
  <c r="A7" i="9" s="1"/>
  <c r="F2" i="11"/>
  <c r="A7" i="11" s="1"/>
  <c r="F2" i="12"/>
  <c r="A7" i="12" s="1"/>
  <c r="G2" i="9"/>
  <c r="G2" i="11"/>
  <c r="A8" i="11" s="1"/>
  <c r="G2" i="12"/>
  <c r="A8" i="12" s="1"/>
  <c r="J2" i="10"/>
  <c r="A11" i="10" s="1"/>
  <c r="C2" i="9"/>
  <c r="A4" i="9" s="1"/>
  <c r="C2" i="12"/>
  <c r="A4" i="12" s="1"/>
  <c r="C2" i="11"/>
  <c r="A4" i="11" s="1"/>
  <c r="K2" i="7"/>
  <c r="K2" i="12"/>
  <c r="A12" i="12" s="1"/>
  <c r="K2" i="11"/>
  <c r="A12" i="11" s="1"/>
  <c r="I2" i="10"/>
  <c r="A10" i="10" s="1"/>
  <c r="A12" i="8"/>
  <c r="A12" i="2" s="1"/>
  <c r="K2" i="1"/>
  <c r="K2" i="3"/>
  <c r="K2" i="5"/>
  <c r="A10" i="8"/>
  <c r="A10" i="3" s="1"/>
  <c r="H2" i="6"/>
  <c r="G2" i="6"/>
  <c r="J2" i="7"/>
  <c r="G2" i="2"/>
  <c r="H2" i="7"/>
  <c r="I2" i="6"/>
  <c r="A11" i="8"/>
  <c r="K2" i="4"/>
  <c r="I2" i="5"/>
  <c r="H2" i="3"/>
  <c r="G2" i="7"/>
  <c r="K2" i="9"/>
  <c r="J2" i="1"/>
  <c r="J2" i="4"/>
  <c r="K2" i="2"/>
  <c r="H2" i="5"/>
  <c r="G2" i="3"/>
  <c r="J2" i="9"/>
  <c r="I2" i="7"/>
  <c r="J2" i="5"/>
  <c r="I2" i="3"/>
  <c r="I2" i="1"/>
  <c r="I2" i="4"/>
  <c r="J2" i="2"/>
  <c r="G2" i="5"/>
  <c r="I2" i="9"/>
  <c r="J2" i="3"/>
  <c r="A8" i="8"/>
  <c r="H2" i="1"/>
  <c r="H2" i="4"/>
  <c r="K2" i="6"/>
  <c r="H2" i="9"/>
  <c r="A9" i="8"/>
  <c r="G2" i="1"/>
  <c r="G2" i="4"/>
  <c r="F2" i="6"/>
  <c r="E2" i="6"/>
  <c r="D2" i="6"/>
  <c r="C2" i="1"/>
  <c r="A10" i="5" l="1"/>
  <c r="A10" i="2"/>
  <c r="A10" i="9"/>
  <c r="A10" i="7"/>
  <c r="A10" i="4"/>
  <c r="A12" i="3"/>
  <c r="A12" i="5"/>
  <c r="A12" i="6"/>
  <c r="A10" i="1"/>
  <c r="A12" i="7"/>
  <c r="A10" i="6"/>
  <c r="A12" i="4"/>
  <c r="A12" i="1"/>
  <c r="A12" i="9"/>
  <c r="A8" i="6"/>
  <c r="A8" i="4"/>
  <c r="A8" i="1"/>
  <c r="A8" i="3"/>
  <c r="A8" i="9"/>
  <c r="A8" i="2"/>
  <c r="A8" i="7"/>
  <c r="A8" i="5"/>
  <c r="A9" i="4"/>
  <c r="A9" i="3"/>
  <c r="A9" i="5"/>
  <c r="A9" i="6"/>
  <c r="A9" i="9"/>
  <c r="A9" i="1"/>
  <c r="A9" i="2"/>
  <c r="A9" i="7"/>
  <c r="A11" i="9"/>
  <c r="A11" i="4"/>
  <c r="A11" i="3"/>
  <c r="A11" i="2"/>
  <c r="A11" i="7"/>
  <c r="A11" i="6"/>
  <c r="A11" i="1"/>
  <c r="A11" i="5"/>
  <c r="F2" i="4"/>
  <c r="D2" i="2"/>
  <c r="D2" i="1"/>
  <c r="F2" i="5"/>
  <c r="D2" i="3"/>
  <c r="F2" i="7"/>
  <c r="C2" i="7"/>
  <c r="C2" i="5"/>
  <c r="E2" i="7"/>
  <c r="D2" i="4"/>
  <c r="D2" i="5"/>
  <c r="D2" i="7"/>
  <c r="C2" i="6"/>
  <c r="A4" i="6" s="1"/>
  <c r="C2" i="4"/>
  <c r="E2" i="5"/>
  <c r="C2" i="2"/>
  <c r="C2" i="3"/>
  <c r="F2" i="1"/>
  <c r="F2" i="2"/>
  <c r="F2" i="3"/>
  <c r="E2" i="4"/>
  <c r="E2" i="1"/>
  <c r="E2" i="2"/>
  <c r="E2" i="3"/>
  <c r="A7" i="8"/>
  <c r="A6" i="8"/>
  <c r="A5" i="8"/>
  <c r="A4" i="8"/>
  <c r="D7" i="6"/>
  <c r="C7" i="6"/>
  <c r="A7" i="6"/>
  <c r="A6" i="6"/>
  <c r="A5" i="6"/>
  <c r="A7" i="2" l="1"/>
  <c r="A6" i="2"/>
  <c r="A5" i="2"/>
  <c r="D7" i="3"/>
  <c r="C7" i="3"/>
  <c r="A7" i="3"/>
  <c r="A6" i="3"/>
  <c r="A5" i="3"/>
  <c r="A4" i="3"/>
  <c r="D7" i="7"/>
  <c r="C7" i="7"/>
  <c r="A7" i="7"/>
  <c r="A6" i="7"/>
  <c r="A5" i="7"/>
  <c r="A4" i="7"/>
  <c r="D7" i="1"/>
  <c r="C7" i="1"/>
  <c r="A5" i="1"/>
  <c r="A7" i="1"/>
  <c r="A6" i="1"/>
  <c r="A4" i="1"/>
  <c r="A7" i="5"/>
  <c r="A6" i="5"/>
  <c r="A5" i="5"/>
  <c r="A4" i="5"/>
  <c r="D7" i="4"/>
  <c r="C7" i="4"/>
  <c r="A7" i="4"/>
  <c r="A6" i="4"/>
  <c r="A5" i="4"/>
  <c r="A4" i="4"/>
  <c r="A4" i="2" l="1"/>
</calcChain>
</file>

<file path=xl/sharedStrings.xml><?xml version="1.0" encoding="utf-8"?>
<sst xmlns="http://schemas.openxmlformats.org/spreadsheetml/2006/main" count="13" uniqueCount="13">
  <si>
    <t>[%] Fraction of the contact perimeter between fluid elements which is actually open</t>
  </si>
  <si>
    <t>[%] Multiplier for the transport properties in the open fraction of the perimeter between fluid elements</t>
  </si>
  <si>
    <t>[m] Thickness of the interface between fluid elements</t>
  </si>
  <si>
    <t>% [W/m2K] Value for the heat transfer coefficient, if constant</t>
  </si>
  <si>
    <t>% [] Value for the multiplier for the heat transfer coefficient, when needed</t>
  </si>
  <si>
    <t>% [m] wetted/contact perimeter</t>
  </si>
  <si>
    <t>% [-] wetted/contact perimeter flags</t>
  </si>
  <si>
    <t>%[] flag to define the model to compute the HTC (yellow cells are those to thake into account). flag to decide how to evaluate interface htc.</t>
  </si>
  <si>
    <t>[%] View factors between jackets to evaluate radiative heating</t>
  </si>
  <si>
    <t>Environment</t>
  </si>
  <si>
    <t>[m2K/W] thermal contact resistance between soldi component, should be &gt;= 0; used if flag HTC_choice is 1</t>
  </si>
  <si>
    <t>Flag to specify the kind of electric conductance: 1 conductance per unit length (the contact is along a line as for tow cilinder); 2 = actual conductance between components.</t>
  </si>
  <si>
    <t>[S/m] Value of the electric_conductance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</si>
</sst>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2" fontId="0" fillId="2" borderId="0" xfId="1" applyNumberFormat="1" applyFont="1" applyFill="1" applyProtection="1">
      <protection locked="0"/>
    </xf>
    <xf numFmtId="0" fontId="1" fillId="3" borderId="0" xfId="0" applyFont="1" applyFill="1"/>
    <xf numFmtId="0" fontId="0" fillId="2" borderId="0" xfId="0" applyFill="1" applyProtection="1">
      <protection locked="0"/>
    </xf>
    <xf numFmtId="11" fontId="0" fillId="2" borderId="0" xfId="0" applyNumberFormat="1" applyFill="1" applyProtection="1">
      <protection locked="0"/>
    </xf>
    <xf numFmtId="0" fontId="3" fillId="2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1" fillId="3" borderId="0" xfId="0" applyFont="1" applyFill="1" applyProtection="1">
      <protection locked="0"/>
    </xf>
    <xf numFmtId="0" fontId="0" fillId="4" borderId="0" xfId="0" applyFill="1" applyProtection="1">
      <protection locked="0"/>
    </xf>
    <xf numFmtId="0" fontId="0" fillId="0" borderId="0" xfId="0" applyAlignment="1" applyProtection="1">
      <alignment horizontal="left" vertical="center" wrapText="1"/>
      <protection locked="0"/>
    </xf>
  </cellXfs>
  <cellStyles count="2">
    <cellStyle name="Normal" xfId="0" builtinId="0"/>
    <cellStyle name="Percent" xfId="1" builtinId="5"/>
  </cellStyles>
  <dxfs count="55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daniele_placido_polito_it/Documents/MAHTEP/OPENSC2_work/year_2022/MIT_Polito/input_files/CASE_3_HTS_HVDC_test_adapt_tstep/conductor_1_input.xlsx" TargetMode="External"/><Relationship Id="rId1" Type="http://schemas.openxmlformats.org/officeDocument/2006/relationships/externalLinkPath" Target="conductor_1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N"/>
      <sheetName val="STACK"/>
      <sheetName val="STR_MIX"/>
      <sheetName val="STR_STAB"/>
      <sheetName val="Z_JACKET"/>
    </sheetNames>
    <sheetDataSet>
      <sheetData sheetId="0">
        <row r="1">
          <cell r="A1" t="str">
            <v>CHAN</v>
          </cell>
        </row>
        <row r="3">
          <cell r="E3" t="str">
            <v>CHAN_1</v>
          </cell>
          <cell r="F3" t="str">
            <v>CHAN_2</v>
          </cell>
        </row>
      </sheetData>
      <sheetData sheetId="1">
        <row r="1">
          <cell r="A1" t="str">
            <v>STACK</v>
          </cell>
        </row>
      </sheetData>
      <sheetData sheetId="2">
        <row r="1">
          <cell r="A1" t="str">
            <v>STR_MIX</v>
          </cell>
        </row>
      </sheetData>
      <sheetData sheetId="3">
        <row r="1">
          <cell r="A1" t="str">
            <v>STR_STAB</v>
          </cell>
        </row>
        <row r="3">
          <cell r="E3" t="str">
            <v>STR_STAB_1</v>
          </cell>
        </row>
      </sheetData>
      <sheetData sheetId="4">
        <row r="1">
          <cell r="A1" t="str">
            <v>Z_JACKET</v>
          </cell>
        </row>
        <row r="3">
          <cell r="E3" t="str">
            <v>Z_JACKET_1</v>
          </cell>
          <cell r="F3" t="str">
            <v>Z_JACKET_2</v>
          </cell>
          <cell r="G3" t="str">
            <v>Z_JACKET_3</v>
          </cell>
          <cell r="H3" t="str">
            <v>Z_JACKET_4</v>
          </cell>
          <cell r="I3" t="str">
            <v>Z_JACKET_5</v>
          </cell>
          <cell r="J3" t="str">
            <v>Z_JACKET_6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8432-32B0-4782-8A41-3C8B7D94A95A}">
  <dimension ref="A1:K12"/>
  <sheetViews>
    <sheetView workbookViewId="0">
      <selection activeCell="E21" sqref="E21"/>
    </sheetView>
  </sheetViews>
  <sheetFormatPr defaultColWidth="8.81640625" defaultRowHeight="14.5" x14ac:dyDescent="0.35"/>
  <cols>
    <col min="1" max="2" width="11.54296875" style="1" bestFit="1" customWidth="1"/>
    <col min="3" max="4" width="7.54296875" style="1" bestFit="1" customWidth="1"/>
    <col min="5" max="5" width="11" style="1" bestFit="1" customWidth="1"/>
    <col min="6" max="11" width="10.81640625" style="1" bestFit="1" customWidth="1"/>
    <col min="12" max="16384" width="8.81640625" style="1"/>
  </cols>
  <sheetData>
    <row r="1" spans="1:11" x14ac:dyDescent="0.35">
      <c r="C1" s="1" t="s">
        <v>6</v>
      </c>
    </row>
    <row r="2" spans="1:11" x14ac:dyDescent="0.35">
      <c r="A2" s="2"/>
      <c r="B2" s="4" t="s">
        <v>9</v>
      </c>
      <c r="C2" s="4" t="str">
        <f>[1]CHAN!$E$3</f>
        <v>CHAN_1</v>
      </c>
      <c r="D2" s="4" t="str">
        <f>[1]CHAN!F$3</f>
        <v>CHAN_2</v>
      </c>
      <c r="E2" s="4" t="str">
        <f>[1]STR_STAB!$E$3</f>
        <v>STR_STAB_1</v>
      </c>
      <c r="F2" s="4" t="str">
        <f>[1]Z_JACKET!E$3</f>
        <v>Z_JACKET_1</v>
      </c>
      <c r="G2" s="4" t="str">
        <f>[1]Z_JACKET!F$3</f>
        <v>Z_JACKET_2</v>
      </c>
      <c r="H2" s="4" t="str">
        <f>[1]Z_JACKET!G$3</f>
        <v>Z_JACKET_3</v>
      </c>
      <c r="I2" s="4" t="str">
        <f>[1]Z_JACKET!H$3</f>
        <v>Z_JACKET_4</v>
      </c>
      <c r="J2" s="4" t="str">
        <f>[1]Z_JACKET!I$3</f>
        <v>Z_JACKET_5</v>
      </c>
      <c r="K2" s="4" t="str">
        <f>[1]Z_JACKET!J$3</f>
        <v>Z_JACKET_6</v>
      </c>
    </row>
    <row r="3" spans="1:11" x14ac:dyDescent="0.35">
      <c r="A3" s="4" t="str">
        <f>B2</f>
        <v>Environment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</v>
      </c>
    </row>
    <row r="4" spans="1:11" x14ac:dyDescent="0.35">
      <c r="A4" s="4" t="str">
        <f>C2</f>
        <v>CHAN_1</v>
      </c>
      <c r="B4" s="1">
        <v>0</v>
      </c>
      <c r="C4" s="1">
        <v>0</v>
      </c>
      <c r="D4" s="5">
        <v>0</v>
      </c>
      <c r="E4" s="5">
        <v>1</v>
      </c>
      <c r="F4" s="5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35">
      <c r="A5" s="4" t="str">
        <f>D2</f>
        <v>CHAN_2</v>
      </c>
      <c r="B5" s="1">
        <v>0</v>
      </c>
      <c r="C5" s="1">
        <v>0</v>
      </c>
      <c r="D5" s="1">
        <v>0</v>
      </c>
      <c r="E5" s="5">
        <v>0</v>
      </c>
      <c r="F5" s="5">
        <v>0</v>
      </c>
      <c r="G5" s="1">
        <v>0</v>
      </c>
      <c r="H5" s="1">
        <v>1</v>
      </c>
      <c r="I5" s="1">
        <v>1</v>
      </c>
      <c r="J5" s="1">
        <v>0</v>
      </c>
      <c r="K5" s="1">
        <v>0</v>
      </c>
    </row>
    <row r="6" spans="1:11" x14ac:dyDescent="0.35">
      <c r="A6" s="4" t="str">
        <f>E2</f>
        <v>STR_STAB_1</v>
      </c>
      <c r="B6" s="1">
        <v>0</v>
      </c>
      <c r="C6" s="1">
        <v>0</v>
      </c>
      <c r="D6" s="1">
        <v>0</v>
      </c>
      <c r="E6" s="1">
        <v>0</v>
      </c>
      <c r="F6" s="5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35">
      <c r="A7" s="4" t="str">
        <f>F2</f>
        <v>Z_JACKET_1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</row>
    <row r="8" spans="1:11" x14ac:dyDescent="0.35">
      <c r="A8" s="1" t="str">
        <f>G2</f>
        <v>Z_JACKET_2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0</v>
      </c>
    </row>
    <row r="9" spans="1:11" x14ac:dyDescent="0.35">
      <c r="A9" s="1" t="str">
        <f>H2</f>
        <v>Z_JACKET_3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35">
      <c r="A10" s="1" t="str">
        <f>I2</f>
        <v>Z_JACKET_4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</row>
    <row r="11" spans="1:11" x14ac:dyDescent="0.35">
      <c r="A11" s="1" t="str">
        <f>J2</f>
        <v>Z_JACKET_5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</row>
    <row r="12" spans="1:11" x14ac:dyDescent="0.35">
      <c r="A12" s="1" t="str">
        <f>K2</f>
        <v>Z_JACKET_6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</sheetData>
  <sheetProtection formatCells="0" formatColumns="0" formatRows="0" insertColumns="0" insertRows="0" insertHyperlinks="0" deleteColumns="0" deleteRows="0" sort="0" autoFilter="0" pivotTables="0"/>
  <conditionalFormatting sqref="C3 D3:D4 E3:E5 F3:F6">
    <cfRule type="cellIs" dxfId="54" priority="1" operator="equal">
      <formula>0</formula>
    </cfRule>
  </conditionalFormatting>
  <conditionalFormatting sqref="C3:F3 D4:F4 E5:F5 F6">
    <cfRule type="cellIs" dxfId="53" priority="2" operator="equal">
      <formula>1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7BE0-CB95-4186-8582-DA069D805E4E}">
  <dimension ref="A1:K12"/>
  <sheetViews>
    <sheetView zoomScale="90" zoomScaleNormal="90" workbookViewId="0">
      <selection activeCell="B24" sqref="B24"/>
    </sheetView>
  </sheetViews>
  <sheetFormatPr defaultColWidth="8.81640625" defaultRowHeight="14.5" x14ac:dyDescent="0.35"/>
  <cols>
    <col min="1" max="1" width="13.54296875" style="2" bestFit="1" customWidth="1"/>
    <col min="2" max="2" width="11.54296875" style="2" bestFit="1" customWidth="1"/>
    <col min="3" max="4" width="7.54296875" style="1" bestFit="1" customWidth="1"/>
    <col min="5" max="5" width="11" style="1" bestFit="1" customWidth="1"/>
    <col min="6" max="11" width="10.81640625" style="1" bestFit="1" customWidth="1"/>
    <col min="12" max="16384" width="8.81640625" style="1"/>
  </cols>
  <sheetData>
    <row r="1" spans="1:11" x14ac:dyDescent="0.35">
      <c r="C1" s="1" t="s">
        <v>5</v>
      </c>
    </row>
    <row r="2" spans="1:11" s="2" customFormat="1" x14ac:dyDescent="0.35"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STR_STAB_1</v>
      </c>
      <c r="F2" s="4" t="str">
        <f>contact_perimeter_flag!F2</f>
        <v>Z_JACKET_1</v>
      </c>
      <c r="G2" s="9" t="str">
        <f>contact_perimeter_flag!G2</f>
        <v>Z_JACKET_2</v>
      </c>
      <c r="H2" s="9" t="str">
        <f>contact_perimeter_flag!H2</f>
        <v>Z_JACKET_3</v>
      </c>
      <c r="I2" s="9" t="str">
        <f>contact_perimeter_flag!I2</f>
        <v>Z_JACKET_4</v>
      </c>
      <c r="J2" s="9" t="str">
        <f>contact_perimeter_flag!J2</f>
        <v>Z_JACKET_5</v>
      </c>
      <c r="K2" s="9" t="str">
        <f>contact_perimeter_flag!K2</f>
        <v>Z_JACKET_6</v>
      </c>
    </row>
    <row r="3" spans="1:11" s="2" customFormat="1" x14ac:dyDescent="0.35">
      <c r="A3" s="4" t="str">
        <f>B2</f>
        <v>Environment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f>PI()*0.186</f>
        <v>0.58433623356770148</v>
      </c>
    </row>
    <row r="4" spans="1:11" x14ac:dyDescent="0.35">
      <c r="A4" s="4" t="str">
        <f>C2</f>
        <v>CHAN_1</v>
      </c>
      <c r="B4" s="1">
        <v>0</v>
      </c>
      <c r="C4" s="1">
        <v>0</v>
      </c>
      <c r="D4" s="5">
        <v>0</v>
      </c>
      <c r="E4" s="5">
        <f>PI()*0.01</f>
        <v>3.1415926535897934E-2</v>
      </c>
      <c r="F4" s="5">
        <f>PI()*0.02</f>
        <v>6.2831853071795868E-2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35">
      <c r="A5" s="4" t="str">
        <f>D2</f>
        <v>CHAN_2</v>
      </c>
      <c r="B5" s="1">
        <v>0</v>
      </c>
      <c r="C5" s="1">
        <v>0</v>
      </c>
      <c r="D5" s="1">
        <v>0</v>
      </c>
      <c r="E5" s="5">
        <v>0</v>
      </c>
      <c r="F5" s="5">
        <v>0</v>
      </c>
      <c r="G5" s="1">
        <v>0</v>
      </c>
      <c r="H5" s="10">
        <f>PI()*0.108</f>
        <v>0.33929200658769765</v>
      </c>
      <c r="I5" s="10">
        <f>PI()*0.128</f>
        <v>0.40212385965949354</v>
      </c>
      <c r="J5" s="1">
        <v>0</v>
      </c>
      <c r="K5" s="1">
        <v>0</v>
      </c>
    </row>
    <row r="6" spans="1:11" x14ac:dyDescent="0.35">
      <c r="A6" s="4" t="str">
        <f>E2</f>
        <v>STR_STAB_1</v>
      </c>
      <c r="B6" s="1">
        <v>0</v>
      </c>
      <c r="C6" s="1">
        <v>0</v>
      </c>
      <c r="D6" s="1">
        <v>0</v>
      </c>
      <c r="E6" s="1">
        <v>0</v>
      </c>
      <c r="F6" s="5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35">
      <c r="A7" s="4" t="str">
        <f>F2</f>
        <v>Z_JACKET_1</v>
      </c>
      <c r="B7" s="1">
        <v>0</v>
      </c>
      <c r="C7" s="1">
        <f>0</f>
        <v>0</v>
      </c>
      <c r="D7" s="1">
        <f>0</f>
        <v>0</v>
      </c>
      <c r="E7" s="1">
        <v>0</v>
      </c>
      <c r="F7" s="1">
        <v>0</v>
      </c>
      <c r="G7" s="10">
        <f>PI()*0.024</f>
        <v>7.5398223686155036E-2</v>
      </c>
      <c r="H7" s="1">
        <v>0</v>
      </c>
      <c r="I7" s="1">
        <v>0</v>
      </c>
      <c r="J7" s="1">
        <v>0</v>
      </c>
      <c r="K7" s="1">
        <v>0</v>
      </c>
    </row>
    <row r="8" spans="1:11" x14ac:dyDescent="0.35">
      <c r="A8" s="9" t="str">
        <f>contact_perimeter_flag!A8</f>
        <v>Z_JACKET_2</v>
      </c>
      <c r="B8" s="1">
        <v>1</v>
      </c>
      <c r="C8" s="1">
        <f>0</f>
        <v>0</v>
      </c>
      <c r="D8" s="1">
        <f>0</f>
        <v>0</v>
      </c>
      <c r="E8" s="1">
        <v>0</v>
      </c>
      <c r="F8" s="1">
        <v>0</v>
      </c>
      <c r="G8" s="1">
        <v>0</v>
      </c>
      <c r="H8" s="10">
        <f>PI()*0.048</f>
        <v>0.15079644737231007</v>
      </c>
      <c r="I8" s="1">
        <v>0</v>
      </c>
      <c r="J8" s="1">
        <v>0</v>
      </c>
      <c r="K8" s="1">
        <v>0</v>
      </c>
    </row>
    <row r="9" spans="1:11" x14ac:dyDescent="0.35">
      <c r="A9" s="9" t="str">
        <f>contact_perimeter_flag!A9</f>
        <v>Z_JACKET_3</v>
      </c>
      <c r="B9" s="1">
        <v>2</v>
      </c>
      <c r="C9" s="1">
        <f>0</f>
        <v>0</v>
      </c>
      <c r="D9" s="1">
        <f>0</f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35">
      <c r="A10" s="9" t="str">
        <f>contact_perimeter_flag!A10</f>
        <v>Z_JACKET_4</v>
      </c>
      <c r="B10" s="1">
        <v>3</v>
      </c>
      <c r="C10" s="1">
        <f>0</f>
        <v>0</v>
      </c>
      <c r="D10" s="1">
        <f>0</f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0">
        <f>PI()*0.132</f>
        <v>0.41469023027385271</v>
      </c>
      <c r="K10" s="1">
        <v>0</v>
      </c>
    </row>
    <row r="11" spans="1:11" x14ac:dyDescent="0.35">
      <c r="A11" s="9" t="str">
        <f>contact_perimeter_flag!A11</f>
        <v>Z_JACKET_5</v>
      </c>
      <c r="B11" s="1">
        <v>4</v>
      </c>
      <c r="C11" s="1">
        <f>0</f>
        <v>0</v>
      </c>
      <c r="D11" s="1">
        <f>0</f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0">
        <f>PI()*0.156</f>
        <v>0.49008845396000772</v>
      </c>
    </row>
    <row r="12" spans="1:11" x14ac:dyDescent="0.35">
      <c r="A12" s="9" t="str">
        <f>contact_perimeter_flag!A12</f>
        <v>Z_JACKET_6</v>
      </c>
      <c r="B12" s="1">
        <v>5</v>
      </c>
      <c r="C12" s="1">
        <f>0</f>
        <v>0</v>
      </c>
      <c r="D12" s="1">
        <f>0</f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4AD045C9-BAC1-44C7-A75B-A13650196F04}">
            <xm:f>contact_perimeter_flag!$D$4=0</xm:f>
            <x14:dxf>
              <fill>
                <patternFill>
                  <bgColor rgb="FFFFFF00"/>
                </patternFill>
              </fill>
            </x14:dxf>
          </x14:cfRule>
          <x14:cfRule type="expression" priority="22" id="{9AF8D629-3186-44FD-A00E-6E765EE8C977}">
            <xm:f>contact_perimeter_flag!$D$4=1</xm:f>
            <x14:dxf>
              <fill>
                <patternFill>
                  <bgColor rgb="FF92D050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expression" priority="5" id="{B5C1805D-6E53-462B-AAD2-E2CC9FC6C49C}">
            <xm:f>contact_perimeter_flag!$E$4=0</xm:f>
            <x14:dxf>
              <fill>
                <patternFill>
                  <bgColor rgb="FFFFFF00"/>
                </patternFill>
              </fill>
            </x14:dxf>
          </x14:cfRule>
          <x14:cfRule type="expression" priority="6" id="{5DD1F1CF-914E-405F-A3AD-66002F6F60B9}">
            <xm:f>contact_perimeter_flag!$E$4=1</xm:f>
            <x14:dxf>
              <fill>
                <patternFill>
                  <bgColor rgb="FF92D050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9" id="{092E39D0-6E06-4419-A5FC-56E43777B02C}">
            <xm:f>contact_perimeter_flag!$E$5=0</xm:f>
            <x14:dxf>
              <fill>
                <patternFill>
                  <bgColor rgb="FFFFFF00"/>
                </patternFill>
              </fill>
            </x14:dxf>
          </x14:cfRule>
          <x14:cfRule type="expression" priority="10" id="{D037B952-D44C-4CFA-B500-2AB886DDB988}">
            <xm:f>contact_perimeter_flag!$E$5=1</xm:f>
            <x14:dxf>
              <fill>
                <patternFill>
                  <bgColor rgb="FF92D050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expression" priority="1" id="{ABF31561-BDFE-4773-99F9-B8B63EB968DE}">
            <xm:f>contact_perimeter_flag!$F$4=0</xm:f>
            <x14:dxf>
              <fill>
                <patternFill>
                  <bgColor rgb="FFFFFF00"/>
                </patternFill>
              </fill>
            </x14:dxf>
          </x14:cfRule>
          <x14:cfRule type="expression" priority="2" id="{D46E27D2-07B7-4A9E-9EC4-1CCE139B18A6}">
            <xm:f>contact_perimeter_flag!$F$4=1</xm:f>
            <x14:dxf>
              <fill>
                <patternFill>
                  <bgColor rgb="FF92D050"/>
                </patternFill>
              </fill>
            </x14:dxf>
          </x14:cfRule>
          <xm:sqref>F4</xm:sqref>
        </x14:conditionalFormatting>
        <x14:conditionalFormatting xmlns:xm="http://schemas.microsoft.com/office/excel/2006/main">
          <x14:cfRule type="expression" priority="7" id="{6C12180F-7DA2-41FF-8849-9A5F5D212C8C}">
            <xm:f>contact_perimeter_flag!$F$5=0</xm:f>
            <x14:dxf>
              <fill>
                <patternFill>
                  <bgColor rgb="FFFFFF00"/>
                </patternFill>
              </fill>
            </x14:dxf>
          </x14:cfRule>
          <x14:cfRule type="expression" priority="8" id="{48411369-82AB-43CB-8448-3B76AFA570AE}">
            <xm:f>contact_perimeter_flag!$F$5=1</xm:f>
            <x14:dxf>
              <fill>
                <patternFill>
                  <bgColor rgb="FF92D050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expression" priority="11" id="{7A64B90D-B15C-4EB3-9FD8-4DB931DE61FC}">
            <xm:f>contact_perimeter_flag!$F$6=0</xm:f>
            <x14:dxf>
              <fill>
                <patternFill>
                  <bgColor rgb="FFFFFF00"/>
                </patternFill>
              </fill>
            </x14:dxf>
          </x14:cfRule>
          <x14:cfRule type="expression" priority="12" id="{E2A6AA9F-F18E-4811-8631-F332CF0E94DA}">
            <xm:f>contact_perimeter_flag!$F$6=1</xm:f>
            <x14:dxf>
              <fill>
                <patternFill>
                  <bgColor rgb="FF92D050"/>
                </patternFill>
              </fill>
            </x14:dxf>
          </x14:cfRule>
          <xm:sqref>F6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6609-93E2-44D0-85E0-B7F0CB6C85BD}">
  <dimension ref="A1:K12"/>
  <sheetViews>
    <sheetView workbookViewId="0">
      <selection activeCell="K3" sqref="K3"/>
    </sheetView>
  </sheetViews>
  <sheetFormatPr defaultColWidth="8.81640625" defaultRowHeight="14.5" x14ac:dyDescent="0.35"/>
  <cols>
    <col min="1" max="2" width="11.54296875" style="1" bestFit="1" customWidth="1"/>
    <col min="3" max="4" width="7.54296875" style="1" bestFit="1" customWidth="1"/>
    <col min="5" max="5" width="11" style="1" bestFit="1" customWidth="1"/>
    <col min="6" max="11" width="10.81640625" style="1" bestFit="1" customWidth="1"/>
    <col min="12" max="16384" width="8.81640625" style="1"/>
  </cols>
  <sheetData>
    <row r="1" spans="1:11" ht="103.4" customHeight="1" x14ac:dyDescent="0.35">
      <c r="C1" s="11" t="s">
        <v>7</v>
      </c>
      <c r="D1" s="11"/>
      <c r="E1" s="11"/>
      <c r="F1" s="11"/>
    </row>
    <row r="2" spans="1:11" x14ac:dyDescent="0.35">
      <c r="A2" s="2"/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STR_STAB_1</v>
      </c>
      <c r="F2" s="4" t="str">
        <f>contact_perimeter_flag!F2</f>
        <v>Z_JACKET_1</v>
      </c>
      <c r="G2" s="9" t="str">
        <f>contact_perimeter_flag!G2</f>
        <v>Z_JACKET_2</v>
      </c>
      <c r="H2" s="9" t="str">
        <f>contact_perimeter_flag!H2</f>
        <v>Z_JACKET_3</v>
      </c>
      <c r="I2" s="9" t="str">
        <f>contact_perimeter_flag!I2</f>
        <v>Z_JACKET_4</v>
      </c>
      <c r="J2" s="9" t="str">
        <f>contact_perimeter_flag!J2</f>
        <v>Z_JACKET_5</v>
      </c>
      <c r="K2" s="9" t="str">
        <f>contact_perimeter_flag!K2</f>
        <v>Z_JACKET_6</v>
      </c>
    </row>
    <row r="3" spans="1:11" x14ac:dyDescent="0.35">
      <c r="A3" s="4" t="str">
        <f>B2</f>
        <v>Environment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-4</v>
      </c>
    </row>
    <row r="4" spans="1:11" x14ac:dyDescent="0.35">
      <c r="A4" s="4" t="str">
        <f>C2</f>
        <v>CHAN_1</v>
      </c>
      <c r="B4" s="1">
        <v>0</v>
      </c>
      <c r="C4" s="7">
        <v>0</v>
      </c>
      <c r="D4" s="5">
        <v>0</v>
      </c>
      <c r="E4" s="5">
        <v>2</v>
      </c>
      <c r="F4" s="5">
        <v>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35">
      <c r="A5" s="4" t="str">
        <f>D2</f>
        <v>CHAN_2</v>
      </c>
      <c r="B5" s="1">
        <v>0</v>
      </c>
      <c r="C5" s="1">
        <v>0</v>
      </c>
      <c r="D5" s="7">
        <v>0</v>
      </c>
      <c r="E5" s="5">
        <v>0</v>
      </c>
      <c r="F5" s="5">
        <v>0</v>
      </c>
      <c r="G5" s="1">
        <v>0</v>
      </c>
      <c r="H5" s="1">
        <v>2</v>
      </c>
      <c r="I5" s="1">
        <v>2</v>
      </c>
      <c r="J5" s="1">
        <v>0</v>
      </c>
      <c r="K5" s="1">
        <v>0</v>
      </c>
    </row>
    <row r="6" spans="1:11" x14ac:dyDescent="0.35">
      <c r="A6" s="4" t="str">
        <f>E2</f>
        <v>STR_STAB_1</v>
      </c>
      <c r="B6" s="1">
        <v>0</v>
      </c>
      <c r="C6" s="1">
        <v>0</v>
      </c>
      <c r="D6" s="1">
        <v>0</v>
      </c>
      <c r="E6" s="5">
        <v>0</v>
      </c>
      <c r="F6" s="5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35">
      <c r="A7" s="4" t="str">
        <f>F2</f>
        <v>Z_JACKET_1</v>
      </c>
      <c r="B7" s="1">
        <v>0</v>
      </c>
      <c r="C7" s="1">
        <f>0</f>
        <v>0</v>
      </c>
      <c r="D7" s="1">
        <f>0</f>
        <v>0</v>
      </c>
      <c r="E7" s="1">
        <v>0</v>
      </c>
      <c r="F7" s="1">
        <v>0</v>
      </c>
      <c r="G7" s="1">
        <v>3</v>
      </c>
      <c r="H7" s="1">
        <v>0</v>
      </c>
      <c r="I7" s="1">
        <v>0</v>
      </c>
      <c r="J7" s="1">
        <v>0</v>
      </c>
      <c r="K7" s="1">
        <v>0</v>
      </c>
    </row>
    <row r="8" spans="1:11" x14ac:dyDescent="0.35">
      <c r="A8" s="9" t="str">
        <f>contact_perimeter_flag!A8</f>
        <v>Z_JACKET_2</v>
      </c>
      <c r="B8" s="1">
        <v>0</v>
      </c>
      <c r="C8" s="1">
        <f>0</f>
        <v>0</v>
      </c>
      <c r="D8" s="1">
        <f>0</f>
        <v>0</v>
      </c>
      <c r="E8" s="1">
        <v>0</v>
      </c>
      <c r="F8" s="1">
        <v>0</v>
      </c>
      <c r="G8" s="1">
        <v>0</v>
      </c>
      <c r="H8" s="1">
        <v>-1</v>
      </c>
      <c r="I8" s="1">
        <v>0</v>
      </c>
      <c r="J8" s="1">
        <v>0</v>
      </c>
      <c r="K8" s="1">
        <v>0</v>
      </c>
    </row>
    <row r="9" spans="1:11" x14ac:dyDescent="0.35">
      <c r="A9" s="9" t="str">
        <f>contact_perimeter_flag!A9</f>
        <v>Z_JACKET_3</v>
      </c>
      <c r="B9" s="1">
        <v>0</v>
      </c>
      <c r="C9" s="1">
        <f>0</f>
        <v>0</v>
      </c>
      <c r="D9" s="1">
        <f>0</f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35">
      <c r="A10" s="9" t="str">
        <f>contact_perimeter_flag!A10</f>
        <v>Z_JACKET_4</v>
      </c>
      <c r="B10" s="1">
        <v>0</v>
      </c>
      <c r="C10" s="1">
        <f>0</f>
        <v>0</v>
      </c>
      <c r="D10" s="1">
        <f>0</f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3</v>
      </c>
      <c r="K10" s="1">
        <v>0</v>
      </c>
    </row>
    <row r="11" spans="1:11" x14ac:dyDescent="0.35">
      <c r="A11" s="9" t="str">
        <f>contact_perimeter_flag!A11</f>
        <v>Z_JACKET_5</v>
      </c>
      <c r="B11" s="1">
        <v>0</v>
      </c>
      <c r="C11" s="1">
        <f>0</f>
        <v>0</v>
      </c>
      <c r="D11" s="1">
        <f>0</f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-1</v>
      </c>
    </row>
    <row r="12" spans="1:11" x14ac:dyDescent="0.35">
      <c r="A12" s="9" t="str">
        <f>contact_perimeter_flag!A12</f>
        <v>Z_JACKET_6</v>
      </c>
      <c r="B12" s="1">
        <v>0</v>
      </c>
      <c r="C12" s="1">
        <f>0</f>
        <v>0</v>
      </c>
      <c r="D12" s="1">
        <f>0</f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C1:F1"/>
  </mergeCell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B2BB0301-45D1-4BBF-97FE-517584F9079D}">
            <xm:f>contact_perimeter_flag!$D$4=0</xm:f>
            <x14:dxf>
              <fill>
                <patternFill>
                  <bgColor rgb="FFFFFF00"/>
                </patternFill>
              </fill>
            </x14:dxf>
          </x14:cfRule>
          <x14:cfRule type="expression" priority="12" id="{23FD51D8-8F7E-4198-AC5A-23302B847997}">
            <xm:f>contact_perimeter_flag!$D$4=1</xm:f>
            <x14:dxf>
              <fill>
                <patternFill>
                  <bgColor rgb="FF92D050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expression" priority="10" id="{0DA20E35-2CDC-4466-ABB2-3692DC83966B}">
            <xm:f>contact_perimeter_flag!$E$4=0</xm:f>
            <x14:dxf>
              <fill>
                <patternFill>
                  <bgColor rgb="FFFFFF00"/>
                </patternFill>
              </fill>
            </x14:dxf>
          </x14:cfRule>
          <x14:cfRule type="expression" priority="11" id="{195C8ABA-5D97-4287-B386-4FB6ABD7E088}">
            <xm:f>contact_perimeter_flag!$E$4=1</xm:f>
            <x14:dxf>
              <fill>
                <patternFill>
                  <bgColor rgb="FF92D050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D87FE0B6-C279-4964-A10A-104CDED6B425}">
            <xm:f>contact_perimeter_flag!$E$5=0</xm:f>
            <x14:dxf>
              <fill>
                <patternFill>
                  <bgColor rgb="FFFFFF00"/>
                </patternFill>
              </fill>
            </x14:dxf>
          </x14:cfRule>
          <x14:cfRule type="expression" priority="6" id="{1A893477-A40F-4F07-B1C4-F0D1FD97855D}">
            <xm:f>contact_perimeter_flag!$E$5=1</xm:f>
            <x14:dxf>
              <fill>
                <patternFill>
                  <bgColor rgb="FF92D050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expression" priority="8" id="{A394923D-6402-4FF1-AB40-820FC3698AA3}">
            <xm:f>contact_perimeter_flag!$F$4=0</xm:f>
            <x14:dxf>
              <fill>
                <patternFill>
                  <bgColor rgb="FFFFFF00"/>
                </patternFill>
              </fill>
            </x14:dxf>
          </x14:cfRule>
          <x14:cfRule type="expression" priority="9" id="{F575DF1D-15F1-4C49-B7A9-9B4614B1F437}">
            <xm:f>contact_perimeter_flag!$F$4=1</xm:f>
            <x14:dxf>
              <fill>
                <patternFill>
                  <bgColor rgb="FF92D050"/>
                </patternFill>
              </fill>
            </x14:dxf>
          </x14:cfRule>
          <xm:sqref>F4</xm:sqref>
        </x14:conditionalFormatting>
        <x14:conditionalFormatting xmlns:xm="http://schemas.microsoft.com/office/excel/2006/main">
          <x14:cfRule type="expression" priority="3" id="{A321D2D0-DBA7-4493-A63B-028B0F6E8C5B}">
            <xm:f>contact_perimeter_flag!$F$5=0</xm:f>
            <x14:dxf>
              <fill>
                <patternFill>
                  <bgColor rgb="FFFFFF00"/>
                </patternFill>
              </fill>
            </x14:dxf>
          </x14:cfRule>
          <x14:cfRule type="expression" priority="4" id="{42046EE7-BD2D-4EA3-8961-C12E60ED621B}">
            <xm:f>contact_perimeter_flag!$F$5=1</xm:f>
            <x14:dxf>
              <fill>
                <patternFill>
                  <bgColor rgb="FF92D050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expression" priority="1" id="{4ECF539A-3DCF-4EE4-90DF-DFA28AEBA10F}">
            <xm:f>contact_perimeter_flag!$F$6=0</xm:f>
            <x14:dxf>
              <fill>
                <patternFill>
                  <bgColor rgb="FFFFFF00"/>
                </patternFill>
              </fill>
            </x14:dxf>
          </x14:cfRule>
          <x14:cfRule type="expression" priority="2" id="{2B2E37FF-C57E-41AE-A269-6F2E9FE13C62}">
            <xm:f>contact_perimeter_flag!$F$6=1</xm:f>
            <x14:dxf>
              <fill>
                <patternFill>
                  <bgColor rgb="FF92D050"/>
                </patternFill>
              </fill>
            </x14:dxf>
          </x14:cfRule>
          <xm:sqref>F6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B995-3590-4E28-8701-A823419A209A}">
  <dimension ref="A1:K12"/>
  <sheetViews>
    <sheetView workbookViewId="0">
      <selection activeCell="K3" sqref="K3"/>
    </sheetView>
  </sheetViews>
  <sheetFormatPr defaultColWidth="8.81640625" defaultRowHeight="14.5" x14ac:dyDescent="0.35"/>
  <cols>
    <col min="1" max="2" width="11.54296875" style="1" bestFit="1" customWidth="1"/>
    <col min="3" max="4" width="7.54296875" style="1" bestFit="1" customWidth="1"/>
    <col min="5" max="5" width="11" style="1" bestFit="1" customWidth="1"/>
    <col min="6" max="11" width="10.81640625" style="1" bestFit="1" customWidth="1"/>
    <col min="12" max="16384" width="8.81640625" style="1"/>
  </cols>
  <sheetData>
    <row r="1" spans="1:11" x14ac:dyDescent="0.35">
      <c r="C1" s="1" t="s">
        <v>3</v>
      </c>
    </row>
    <row r="2" spans="1:11" x14ac:dyDescent="0.35">
      <c r="A2" s="2"/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STR_STAB_1</v>
      </c>
      <c r="F2" s="4" t="str">
        <f>contact_perimeter_flag!F2</f>
        <v>Z_JACKET_1</v>
      </c>
      <c r="G2" s="9" t="str">
        <f>contact_perimeter_flag!G2</f>
        <v>Z_JACKET_2</v>
      </c>
      <c r="H2" s="9" t="str">
        <f>contact_perimeter_flag!H2</f>
        <v>Z_JACKET_3</v>
      </c>
      <c r="I2" s="9" t="str">
        <f>contact_perimeter_flag!I2</f>
        <v>Z_JACKET_4</v>
      </c>
      <c r="J2" s="9" t="str">
        <f>contact_perimeter_flag!J2</f>
        <v>Z_JACKET_5</v>
      </c>
      <c r="K2" s="9" t="str">
        <f>contact_perimeter_flag!K2</f>
        <v>Z_JACKET_6</v>
      </c>
    </row>
    <row r="3" spans="1:11" x14ac:dyDescent="0.35">
      <c r="A3" s="4" t="str">
        <f>B2</f>
        <v>Environment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5</v>
      </c>
    </row>
    <row r="4" spans="1:11" x14ac:dyDescent="0.35">
      <c r="A4" s="4" t="str">
        <f>C2</f>
        <v>CHAN_1</v>
      </c>
      <c r="B4" s="1">
        <v>0</v>
      </c>
      <c r="C4" s="1">
        <v>0</v>
      </c>
      <c r="D4" s="5">
        <v>0</v>
      </c>
      <c r="E4" s="5">
        <v>0</v>
      </c>
      <c r="F4" s="5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35">
      <c r="A5" s="4" t="str">
        <f>D2</f>
        <v>CHAN_2</v>
      </c>
      <c r="B5" s="1">
        <v>0</v>
      </c>
      <c r="C5" s="1">
        <v>0</v>
      </c>
      <c r="D5" s="1">
        <v>0</v>
      </c>
      <c r="E5" s="5">
        <v>0</v>
      </c>
      <c r="F5" s="5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x14ac:dyDescent="0.35">
      <c r="A6" s="4" t="str">
        <f>E2</f>
        <v>STR_STAB_1</v>
      </c>
      <c r="B6" s="1">
        <v>0</v>
      </c>
      <c r="C6" s="1">
        <v>0</v>
      </c>
      <c r="D6" s="1">
        <v>0</v>
      </c>
      <c r="E6" s="1">
        <v>0</v>
      </c>
      <c r="F6" s="5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35">
      <c r="A7" s="4" t="str">
        <f>F2</f>
        <v>Z_JACKET_1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35">
      <c r="A8" s="9" t="str">
        <f>contact_perimeter_flag!A8</f>
        <v>Z_JACKET_2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500</v>
      </c>
      <c r="I8" s="1">
        <v>0</v>
      </c>
      <c r="J8" s="1">
        <v>0</v>
      </c>
      <c r="K8" s="1">
        <v>0</v>
      </c>
    </row>
    <row r="9" spans="1:11" x14ac:dyDescent="0.35">
      <c r="A9" s="9" t="str">
        <f>contact_perimeter_flag!A9</f>
        <v>Z_JACKET_3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35">
      <c r="A10" s="9" t="str">
        <f>contact_perimeter_flag!A10</f>
        <v>Z_JACKET_4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35">
      <c r="A11" s="9" t="str">
        <f>contact_perimeter_flag!A11</f>
        <v>Z_JACKET_5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500</v>
      </c>
    </row>
    <row r="12" spans="1:11" x14ac:dyDescent="0.35">
      <c r="A12" s="9" t="str">
        <f>contact_perimeter_flag!A12</f>
        <v>Z_JACKET_6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id="{5BE308E8-A4F0-48EF-8DCF-F74339C31A9A}">
            <xm:f>contact_perimeter_flag!$D$4=0</xm:f>
            <x14:dxf>
              <fill>
                <patternFill>
                  <bgColor rgb="FFFFFF00"/>
                </patternFill>
              </fill>
            </x14:dxf>
          </x14:cfRule>
          <x14:cfRule type="expression" priority="12" id="{11BE1C9A-9C6F-4237-9BFB-893FCC17013A}">
            <xm:f>contact_perimeter_flag!$D$4=1</xm:f>
            <x14:dxf>
              <fill>
                <patternFill>
                  <bgColor rgb="FF92D050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expression" priority="9" id="{995CDE50-A8A0-4B12-8F00-3B321B6EA1C3}">
            <xm:f>contact_perimeter_flag!$E$4=0</xm:f>
            <x14:dxf>
              <fill>
                <patternFill>
                  <bgColor rgb="FFFFFF00"/>
                </patternFill>
              </fill>
            </x14:dxf>
          </x14:cfRule>
          <x14:cfRule type="expression" priority="10" id="{855D4512-C716-4B18-9104-424407D3AB82}">
            <xm:f>contact_perimeter_flag!$E$4=1</xm:f>
            <x14:dxf>
              <fill>
                <patternFill>
                  <bgColor rgb="FF92D050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DD84A92E-4778-4CBC-A9E6-30A79A7B937D}">
            <xm:f>contact_perimeter_flag!$E$5=0</xm:f>
            <x14:dxf>
              <fill>
                <patternFill>
                  <bgColor rgb="FFFFFF00"/>
                </patternFill>
              </fill>
            </x14:dxf>
          </x14:cfRule>
          <x14:cfRule type="expression" priority="6" id="{5BE80D1C-95C5-43B3-A669-205F67CC700E}">
            <xm:f>contact_perimeter_flag!$E$5=1</xm:f>
            <x14:dxf>
              <fill>
                <patternFill>
                  <bgColor rgb="FF92D050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expression" priority="7" id="{339C733E-4718-4A19-9E71-68CE042E9F11}">
            <xm:f>contact_perimeter_flag!$F$4=0</xm:f>
            <x14:dxf>
              <fill>
                <patternFill>
                  <bgColor rgb="FFFFFF00"/>
                </patternFill>
              </fill>
            </x14:dxf>
          </x14:cfRule>
          <x14:cfRule type="expression" priority="8" id="{591EC2D6-C0C3-4DC6-A42C-F48BDADAFE2F}">
            <xm:f>contact_perimeter_flag!$F$4=1</xm:f>
            <x14:dxf>
              <fill>
                <patternFill>
                  <bgColor rgb="FF92D050"/>
                </patternFill>
              </fill>
            </x14:dxf>
          </x14:cfRule>
          <xm:sqref>F4</xm:sqref>
        </x14:conditionalFormatting>
        <x14:conditionalFormatting xmlns:xm="http://schemas.microsoft.com/office/excel/2006/main">
          <x14:cfRule type="expression" priority="3" id="{C6C7C688-E427-4187-9B20-ADF8F226F297}">
            <xm:f>contact_perimeter_flag!$F$5=0</xm:f>
            <x14:dxf>
              <fill>
                <patternFill>
                  <bgColor rgb="FFFFFF00"/>
                </patternFill>
              </fill>
            </x14:dxf>
          </x14:cfRule>
          <x14:cfRule type="expression" priority="4" id="{DE0A08A6-9A49-443C-8B0E-AF29FF6C8936}">
            <xm:f>contact_perimeter_flag!$F$5=1</xm:f>
            <x14:dxf>
              <fill>
                <patternFill>
                  <bgColor rgb="FF92D050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expression" priority="1" id="{5F4A4C22-4395-4995-8CF3-57C680966356}">
            <xm:f>contact_perimeter_flag!$F$6=0</xm:f>
            <x14:dxf>
              <fill>
                <patternFill>
                  <bgColor rgb="FFFFFF00"/>
                </patternFill>
              </fill>
            </x14:dxf>
          </x14:cfRule>
          <x14:cfRule type="expression" priority="2" id="{5D68DCF4-C9F5-41BE-B481-4B8738C7C738}">
            <xm:f>contact_perimeter_flag!$F$6=1</xm:f>
            <x14:dxf>
              <fill>
                <patternFill>
                  <bgColor rgb="FF92D050"/>
                </patternFill>
              </fill>
            </x14:dxf>
          </x14:cfRule>
          <xm:sqref>F6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61DE8-A1F0-4E81-B0F1-B3ACA8100EA8}">
  <dimension ref="A1:K12"/>
  <sheetViews>
    <sheetView workbookViewId="0">
      <selection activeCell="C1" sqref="C1"/>
    </sheetView>
  </sheetViews>
  <sheetFormatPr defaultRowHeight="14.5" x14ac:dyDescent="0.35"/>
  <sheetData>
    <row r="1" spans="1:11" x14ac:dyDescent="0.35">
      <c r="C1" t="s">
        <v>10</v>
      </c>
    </row>
    <row r="2" spans="1:11" x14ac:dyDescent="0.35"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STR_STAB_1</v>
      </c>
      <c r="F2" s="4" t="str">
        <f>contact_perimeter_flag!F2</f>
        <v>Z_JACKET_1</v>
      </c>
      <c r="G2" s="4" t="str">
        <f>contact_perimeter_flag!G2</f>
        <v>Z_JACKET_2</v>
      </c>
      <c r="H2" s="4" t="str">
        <f>contact_perimeter_flag!H2</f>
        <v>Z_JACKET_3</v>
      </c>
      <c r="I2" s="4" t="str">
        <f>contact_perimeter_flag!I2</f>
        <v>Z_JACKET_4</v>
      </c>
      <c r="J2" s="4" t="str">
        <f>contact_perimeter_flag!J2</f>
        <v>Z_JACKET_5</v>
      </c>
      <c r="K2" s="4" t="str">
        <f>contact_perimeter_flag!K2</f>
        <v>Z_JACKET_6</v>
      </c>
    </row>
    <row r="3" spans="1:11" x14ac:dyDescent="0.35">
      <c r="A3" s="4" t="str">
        <f>B2</f>
        <v>Environment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s="4" t="str">
        <f>C2</f>
        <v>CHAN_1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s="4" t="str">
        <f>D2</f>
        <v>CHAN_2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s="4" t="str">
        <f>E2</f>
        <v>STR_STAB_1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s="4" t="str">
        <f>F2</f>
        <v>Z_JACKET_1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s="4" t="str">
        <f>G2</f>
        <v>Z_JACKET_2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s="4" t="str">
        <f>H2</f>
        <v>Z_JACKET_3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s="4" t="str">
        <f>I2</f>
        <v>Z_JACKET_4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s="4" t="str">
        <f>J2</f>
        <v>Z_JACKET_5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s="4" t="str">
        <f>K2</f>
        <v>Z_JACKET_6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123C-7F60-4807-AE29-ECD4FCE24EA7}">
  <dimension ref="A1:K12"/>
  <sheetViews>
    <sheetView workbookViewId="0">
      <selection activeCell="J38" sqref="J38"/>
    </sheetView>
  </sheetViews>
  <sheetFormatPr defaultColWidth="8.81640625" defaultRowHeight="14.5" x14ac:dyDescent="0.35"/>
  <cols>
    <col min="1" max="2" width="13.54296875" style="1" bestFit="1" customWidth="1"/>
    <col min="3" max="4" width="7.81640625" style="1" bestFit="1" customWidth="1"/>
    <col min="5" max="5" width="10.54296875" style="1" bestFit="1" customWidth="1"/>
    <col min="6" max="6" width="11.1796875" style="1" bestFit="1" customWidth="1"/>
    <col min="7" max="11" width="10.81640625" style="1" bestFit="1" customWidth="1"/>
    <col min="12" max="16384" width="8.81640625" style="1"/>
  </cols>
  <sheetData>
    <row r="1" spans="1:11" x14ac:dyDescent="0.35">
      <c r="C1" s="1" t="s">
        <v>4</v>
      </c>
    </row>
    <row r="2" spans="1:11" x14ac:dyDescent="0.35">
      <c r="A2" s="2"/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STR_STAB_1</v>
      </c>
      <c r="F2" s="4" t="str">
        <f>contact_perimeter_flag!F2</f>
        <v>Z_JACKET_1</v>
      </c>
      <c r="G2" s="9" t="str">
        <f>contact_perimeter_flag!G2</f>
        <v>Z_JACKET_2</v>
      </c>
      <c r="H2" s="9" t="str">
        <f>contact_perimeter_flag!H2</f>
        <v>Z_JACKET_3</v>
      </c>
      <c r="I2" s="9" t="str">
        <f>contact_perimeter_flag!I2</f>
        <v>Z_JACKET_4</v>
      </c>
      <c r="J2" s="9" t="str">
        <f>contact_perimeter_flag!J2</f>
        <v>Z_JACKET_5</v>
      </c>
      <c r="K2" s="9" t="str">
        <f>contact_perimeter_flag!K2</f>
        <v>Z_JACKET_6</v>
      </c>
    </row>
    <row r="3" spans="1:11" x14ac:dyDescent="0.35">
      <c r="A3" s="4" t="str">
        <f>B2</f>
        <v>Environment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</v>
      </c>
    </row>
    <row r="4" spans="1:11" x14ac:dyDescent="0.35">
      <c r="A4" s="4" t="str">
        <f>C2</f>
        <v>CHAN_1</v>
      </c>
      <c r="B4" s="1">
        <v>0</v>
      </c>
      <c r="C4" s="1">
        <v>0</v>
      </c>
      <c r="D4" s="5">
        <v>0</v>
      </c>
      <c r="E4" s="5">
        <v>1</v>
      </c>
      <c r="F4" s="5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35">
      <c r="A5" s="4" t="str">
        <f>D2</f>
        <v>CHAN_2</v>
      </c>
      <c r="B5" s="1">
        <v>0</v>
      </c>
      <c r="C5" s="1">
        <v>0</v>
      </c>
      <c r="D5" s="1">
        <v>0</v>
      </c>
      <c r="E5" s="5">
        <v>0</v>
      </c>
      <c r="F5" s="5">
        <v>0</v>
      </c>
      <c r="G5" s="1">
        <v>0</v>
      </c>
      <c r="H5" s="1">
        <v>1</v>
      </c>
      <c r="I5" s="1">
        <v>1</v>
      </c>
      <c r="J5" s="1">
        <v>0</v>
      </c>
      <c r="K5" s="1">
        <v>0</v>
      </c>
    </row>
    <row r="6" spans="1:11" x14ac:dyDescent="0.35">
      <c r="A6" s="4" t="str">
        <f>E2</f>
        <v>STR_STAB_1</v>
      </c>
      <c r="B6" s="1">
        <v>0</v>
      </c>
      <c r="C6" s="1">
        <v>0</v>
      </c>
      <c r="D6" s="1">
        <v>0</v>
      </c>
      <c r="E6" s="1">
        <v>0</v>
      </c>
      <c r="F6" s="5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35">
      <c r="A7" s="4" t="str">
        <f>F2</f>
        <v>Z_JACKET_1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</row>
    <row r="8" spans="1:11" x14ac:dyDescent="0.35">
      <c r="A8" s="9" t="str">
        <f>contact_perimeter_flag!A8</f>
        <v>Z_JACKET_2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0</v>
      </c>
    </row>
    <row r="9" spans="1:11" x14ac:dyDescent="0.35">
      <c r="A9" s="9" t="str">
        <f>contact_perimeter_flag!A9</f>
        <v>Z_JACKET_3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35">
      <c r="A10" s="9" t="str">
        <f>contact_perimeter_flag!A10</f>
        <v>Z_JACKET_4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</row>
    <row r="11" spans="1:11" x14ac:dyDescent="0.35">
      <c r="A11" s="9" t="str">
        <f>contact_perimeter_flag!A11</f>
        <v>Z_JACKET_5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</row>
    <row r="12" spans="1:11" x14ac:dyDescent="0.35">
      <c r="A12" s="9" t="str">
        <f>contact_perimeter_flag!A12</f>
        <v>Z_JACKET_6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17FDCBAB-F36D-4D4B-9C83-7ECBE4FB5223}">
            <xm:f>contact_perimeter_flag!$D$4=0</xm:f>
            <x14:dxf>
              <fill>
                <patternFill>
                  <bgColor rgb="FFFFFF00"/>
                </patternFill>
              </fill>
            </x14:dxf>
          </x14:cfRule>
          <x14:cfRule type="expression" priority="6" id="{BAEF16C0-0DC7-4D87-99FB-10CBAE393ED8}">
            <xm:f>contact_perimeter_flag!$D$4=1</xm:f>
            <x14:dxf>
              <fill>
                <patternFill>
                  <bgColor rgb="FF92D050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expression" priority="4" id="{FC3ADE6C-3A3E-4CAA-8D23-FF667BCC8A7C}">
            <xm:f>contact_perimeter_flag!$E$4=1</xm:f>
            <x14:dxf>
              <fill>
                <patternFill>
                  <bgColor rgb="FF92D050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7" id="{F5966269-AC0C-42CC-8070-274E500EFEAB}">
            <xm:f>contact_perimeter_flag!$E$5=0</xm:f>
            <x14:dxf>
              <fill>
                <patternFill>
                  <bgColor rgb="FFFFFF00"/>
                </patternFill>
              </fill>
            </x14:dxf>
          </x14:cfRule>
          <x14:cfRule type="expression" priority="8" id="{99108EF2-B024-4528-A3BD-3537B6BF1AA3}">
            <xm:f>contact_perimeter_flag!$E$5=1</xm:f>
            <x14:dxf>
              <fill>
                <patternFill>
                  <bgColor rgb="FF92D050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expression" priority="1" id="{83CFDED0-3481-40F2-8E50-A3A5BABFE4E8}">
            <xm:f>contact_perimeter_flag!$E$4=0</xm:f>
            <x14:dxf>
              <fill>
                <patternFill>
                  <bgColor rgb="FFFFFF00"/>
                </patternFill>
              </fill>
            </x14:dxf>
          </x14:cfRule>
          <xm:sqref>E4:F4</xm:sqref>
        </x14:conditionalFormatting>
        <x14:conditionalFormatting xmlns:xm="http://schemas.microsoft.com/office/excel/2006/main">
          <x14:cfRule type="expression" priority="2" id="{D32D2F30-1A83-408E-BFB7-64FC762DD369}">
            <xm:f>contact_perimeter_flag!$F$4=1</xm:f>
            <x14:dxf>
              <fill>
                <patternFill>
                  <bgColor rgb="FF92D050"/>
                </patternFill>
              </fill>
            </x14:dxf>
          </x14:cfRule>
          <xm:sqref>F4</xm:sqref>
        </x14:conditionalFormatting>
        <x14:conditionalFormatting xmlns:xm="http://schemas.microsoft.com/office/excel/2006/main">
          <x14:cfRule type="expression" priority="9" id="{979BDE00-7B4D-44FD-B0A0-DAC806A8693B}">
            <xm:f>contact_perimeter_flag!$F$5=0</xm:f>
            <x14:dxf>
              <fill>
                <patternFill>
                  <bgColor rgb="FFFFFF00"/>
                </patternFill>
              </fill>
            </x14:dxf>
          </x14:cfRule>
          <x14:cfRule type="expression" priority="10" id="{43C45D2A-8B63-4A5C-A4A7-300CB64F68D4}">
            <xm:f>contact_perimeter_flag!$F$5=1</xm:f>
            <x14:dxf>
              <fill>
                <patternFill>
                  <bgColor rgb="FF92D050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expression" priority="11" id="{61C546F9-9991-419A-AF57-2C4058E3D71E}">
            <xm:f>contact_perimeter_flag!$F$6=0</xm:f>
            <x14:dxf>
              <fill>
                <patternFill>
                  <bgColor rgb="FFFFFF00"/>
                </patternFill>
              </fill>
            </x14:dxf>
          </x14:cfRule>
          <x14:cfRule type="expression" priority="12" id="{F730F5E4-0B2A-4176-8FE7-A5C990469D53}">
            <xm:f>contact_perimeter_flag!$F$6=1</xm:f>
            <x14:dxf>
              <fill>
                <patternFill>
                  <bgColor rgb="FF92D050"/>
                </patternFill>
              </fill>
            </x14:dxf>
          </x14:cfRule>
          <xm:sqref>F6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6A28-3622-44C8-9C51-A4A192990049}">
  <dimension ref="A1:K12"/>
  <sheetViews>
    <sheetView workbookViewId="0">
      <selection activeCell="C1" sqref="C1"/>
    </sheetView>
  </sheetViews>
  <sheetFormatPr defaultRowHeight="14.5" x14ac:dyDescent="0.35"/>
  <cols>
    <col min="1" max="2" width="12.453125" bestFit="1" customWidth="1"/>
    <col min="3" max="4" width="8.1796875" bestFit="1" customWidth="1"/>
    <col min="5" max="5" width="11.54296875" bestFit="1" customWidth="1"/>
    <col min="6" max="11" width="11.26953125" bestFit="1" customWidth="1"/>
  </cols>
  <sheetData>
    <row r="1" spans="1:11" x14ac:dyDescent="0.35">
      <c r="C1" t="s">
        <v>11</v>
      </c>
    </row>
    <row r="2" spans="1:11" x14ac:dyDescent="0.35"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STR_STAB_1</v>
      </c>
      <c r="F2" s="4" t="str">
        <f>contact_perimeter_flag!F2</f>
        <v>Z_JACKET_1</v>
      </c>
      <c r="G2" s="4" t="str">
        <f>contact_perimeter_flag!G2</f>
        <v>Z_JACKET_2</v>
      </c>
      <c r="H2" s="4" t="str">
        <f>contact_perimeter_flag!H2</f>
        <v>Z_JACKET_3</v>
      </c>
      <c r="I2" s="4" t="str">
        <f>contact_perimeter_flag!I2</f>
        <v>Z_JACKET_4</v>
      </c>
      <c r="J2" s="4" t="str">
        <f>contact_perimeter_flag!J2</f>
        <v>Z_JACKET_5</v>
      </c>
      <c r="K2" s="4" t="str">
        <f>contact_perimeter_flag!K2</f>
        <v>Z_JACKET_6</v>
      </c>
    </row>
    <row r="3" spans="1:11" x14ac:dyDescent="0.35">
      <c r="A3" s="4" t="str">
        <f>B2</f>
        <v>Environment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s="4" t="str">
        <f>C2</f>
        <v>CHAN_1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s="4" t="str">
        <f>D2</f>
        <v>CHAN_2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s="4" t="str">
        <f>E2</f>
        <v>STR_STAB_1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s="4" t="str">
        <f>F2</f>
        <v>Z_JACKET_1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s="4" t="str">
        <f>G2</f>
        <v>Z_JACKET_2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s="4" t="str">
        <f>H2</f>
        <v>Z_JACKET_3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s="4" t="str">
        <f>I2</f>
        <v>Z_JACKET_4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s="4" t="str">
        <f>J2</f>
        <v>Z_JACKET_5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s="4" t="str">
        <f>K2</f>
        <v>Z_JACKET_6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F735-BC8F-4B85-A299-67FC1575CEC3}">
  <dimension ref="A1:K12"/>
  <sheetViews>
    <sheetView workbookViewId="0">
      <selection activeCell="I34" sqref="I34"/>
    </sheetView>
  </sheetViews>
  <sheetFormatPr defaultRowHeight="14.5" x14ac:dyDescent="0.35"/>
  <cols>
    <col min="1" max="2" width="12.453125" bestFit="1" customWidth="1"/>
    <col min="3" max="4" width="8.1796875" bestFit="1" customWidth="1"/>
    <col min="5" max="5" width="11.54296875" bestFit="1" customWidth="1"/>
    <col min="6" max="11" width="11.26953125" bestFit="1" customWidth="1"/>
  </cols>
  <sheetData>
    <row r="1" spans="1:11" x14ac:dyDescent="0.35">
      <c r="C1" t="s">
        <v>12</v>
      </c>
    </row>
    <row r="2" spans="1:11" x14ac:dyDescent="0.35"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STR_STAB_1</v>
      </c>
      <c r="F2" s="4" t="str">
        <f>contact_perimeter_flag!F2</f>
        <v>Z_JACKET_1</v>
      </c>
      <c r="G2" s="4" t="str">
        <f>contact_perimeter_flag!G2</f>
        <v>Z_JACKET_2</v>
      </c>
      <c r="H2" s="4" t="str">
        <f>contact_perimeter_flag!H2</f>
        <v>Z_JACKET_3</v>
      </c>
      <c r="I2" s="4" t="str">
        <f>contact_perimeter_flag!I2</f>
        <v>Z_JACKET_4</v>
      </c>
      <c r="J2" s="4" t="str">
        <f>contact_perimeter_flag!J2</f>
        <v>Z_JACKET_5</v>
      </c>
      <c r="K2" s="4" t="str">
        <f>contact_perimeter_flag!K2</f>
        <v>Z_JACKET_6</v>
      </c>
    </row>
    <row r="3" spans="1:11" x14ac:dyDescent="0.35">
      <c r="A3" s="4" t="str">
        <f>B2</f>
        <v>Environment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s="4" t="str">
        <f>C2</f>
        <v>CHAN_1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s="4" t="str">
        <f>D2</f>
        <v>CHAN_2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s="4" t="str">
        <f>E2</f>
        <v>STR_STAB_1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s="4" t="str">
        <f>F2</f>
        <v>Z_JACKET_1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s="4" t="str">
        <f>G2</f>
        <v>Z_JACKET_2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s="4" t="str">
        <f>H2</f>
        <v>Z_JACKET_3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s="4" t="str">
        <f>I2</f>
        <v>Z_JACKET_4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s="4" t="str">
        <f>J2</f>
        <v>Z_JACKET_5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s="4" t="str">
        <f>K2</f>
        <v>Z_JACKET_6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E1EA-762F-42F4-ACD0-F98E1885F191}">
  <dimension ref="A1:K12"/>
  <sheetViews>
    <sheetView workbookViewId="0">
      <selection activeCell="B7" sqref="B7:B12"/>
    </sheetView>
  </sheetViews>
  <sheetFormatPr defaultColWidth="8.81640625" defaultRowHeight="14.5" x14ac:dyDescent="0.35"/>
  <cols>
    <col min="1" max="2" width="13.54296875" style="1" bestFit="1" customWidth="1"/>
    <col min="3" max="3" width="7.81640625" style="1" bestFit="1" customWidth="1"/>
    <col min="4" max="4" width="8.453125" style="1" bestFit="1" customWidth="1"/>
    <col min="5" max="5" width="10.54296875" style="1" bestFit="1" customWidth="1"/>
    <col min="6" max="11" width="10.81640625" style="1" bestFit="1" customWidth="1"/>
    <col min="12" max="16384" width="8.81640625" style="1"/>
  </cols>
  <sheetData>
    <row r="1" spans="1:11" x14ac:dyDescent="0.35">
      <c r="C1" s="1" t="s">
        <v>0</v>
      </c>
    </row>
    <row r="2" spans="1:11" x14ac:dyDescent="0.35">
      <c r="A2" s="2"/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STR_STAB_1</v>
      </c>
      <c r="F2" s="4" t="str">
        <f>contact_perimeter_flag!F2</f>
        <v>Z_JACKET_1</v>
      </c>
      <c r="G2" s="4" t="str">
        <f>contact_perimeter_flag!G2</f>
        <v>Z_JACKET_2</v>
      </c>
      <c r="H2" s="4" t="str">
        <f>contact_perimeter_flag!H2</f>
        <v>Z_JACKET_3</v>
      </c>
      <c r="I2" s="4" t="str">
        <f>contact_perimeter_flag!I2</f>
        <v>Z_JACKET_4</v>
      </c>
      <c r="J2" s="4" t="str">
        <f>contact_perimeter_flag!J2</f>
        <v>Z_JACKET_5</v>
      </c>
      <c r="K2" s="4" t="str">
        <f>contact_perimeter_flag!K2</f>
        <v>Z_JACKET_6</v>
      </c>
    </row>
    <row r="3" spans="1:11" x14ac:dyDescent="0.35">
      <c r="A3" s="4" t="str">
        <f>B2</f>
        <v>Environment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x14ac:dyDescent="0.35">
      <c r="A4" s="4" t="str">
        <f>C2</f>
        <v>CHAN_1</v>
      </c>
      <c r="B4" s="1">
        <v>0</v>
      </c>
      <c r="C4" s="1">
        <v>0</v>
      </c>
      <c r="D4" s="6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35">
      <c r="A5" s="4" t="str">
        <f>D2</f>
        <v>CHAN_2</v>
      </c>
      <c r="B5" s="1">
        <v>0</v>
      </c>
      <c r="C5" s="1">
        <v>0</v>
      </c>
      <c r="D5" s="8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x14ac:dyDescent="0.35">
      <c r="A6" s="4" t="str">
        <f>E2</f>
        <v>STR_STAB_1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35">
      <c r="A7" s="4" t="str">
        <f>F2</f>
        <v>Z_JACKET_1</v>
      </c>
      <c r="B7" s="1">
        <v>0</v>
      </c>
      <c r="C7" s="1">
        <f>0</f>
        <v>0</v>
      </c>
      <c r="D7" s="1">
        <f>0</f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35">
      <c r="A8" s="9" t="str">
        <f>contact_perimeter_flag!A8</f>
        <v>Z_JACKET_2</v>
      </c>
      <c r="B8" s="1">
        <v>0</v>
      </c>
      <c r="C8" s="1">
        <f>0</f>
        <v>0</v>
      </c>
      <c r="D8" s="1">
        <f>0</f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35">
      <c r="A9" s="9" t="str">
        <f>contact_perimeter_flag!A9</f>
        <v>Z_JACKET_3</v>
      </c>
      <c r="B9" s="1">
        <v>0</v>
      </c>
      <c r="C9" s="1">
        <f>0</f>
        <v>0</v>
      </c>
      <c r="D9" s="1">
        <f>0</f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35">
      <c r="A10" s="9" t="str">
        <f>contact_perimeter_flag!A10</f>
        <v>Z_JACKET_4</v>
      </c>
      <c r="B10" s="1">
        <v>0</v>
      </c>
      <c r="C10" s="1">
        <f>0</f>
        <v>0</v>
      </c>
      <c r="D10" s="1">
        <f>0</f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35">
      <c r="A11" s="9" t="str">
        <f>contact_perimeter_flag!A11</f>
        <v>Z_JACKET_5</v>
      </c>
      <c r="B11" s="1">
        <v>0</v>
      </c>
      <c r="C11" s="1">
        <f>0</f>
        <v>0</v>
      </c>
      <c r="D11" s="1">
        <f>0</f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35">
      <c r="A12" s="9" t="str">
        <f>contact_perimeter_flag!A12</f>
        <v>Z_JACKET_6</v>
      </c>
      <c r="B12" s="1">
        <v>0</v>
      </c>
      <c r="C12" s="1">
        <f>0</f>
        <v>0</v>
      </c>
      <c r="D12" s="1">
        <f>0</f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A81C46D-8A3B-4CF5-BA35-4C20158376A2}">
            <xm:f>contact_perimeter_flag!$D$4=0</xm:f>
            <x14:dxf>
              <fill>
                <patternFill>
                  <bgColor rgb="FFFFFF00"/>
                </patternFill>
              </fill>
            </x14:dxf>
          </x14:cfRule>
          <x14:cfRule type="expression" priority="2" id="{DC739A21-9CFB-4D91-BA0C-BF1242DD0780}">
            <xm:f>contact_perimeter_flag!$D$4=1</xm:f>
            <x14:dxf>
              <fill>
                <patternFill>
                  <bgColor rgb="FF92D050"/>
                </patternFill>
              </fill>
            </x14:dxf>
          </x14:cfRule>
          <xm:sqref>D4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F7F-A8D7-4239-AF85-1CCD06F5862A}">
  <dimension ref="A1:K12"/>
  <sheetViews>
    <sheetView workbookViewId="0">
      <selection activeCell="B7" sqref="B7:B12"/>
    </sheetView>
  </sheetViews>
  <sheetFormatPr defaultColWidth="8.81640625" defaultRowHeight="14.5" x14ac:dyDescent="0.35"/>
  <cols>
    <col min="1" max="2" width="13.54296875" style="1" bestFit="1" customWidth="1"/>
    <col min="3" max="3" width="7.81640625" style="1" bestFit="1" customWidth="1"/>
    <col min="4" max="4" width="8.453125" style="1" bestFit="1" customWidth="1"/>
    <col min="5" max="5" width="10.54296875" style="1" bestFit="1" customWidth="1"/>
    <col min="6" max="6" width="11.1796875" style="1" bestFit="1" customWidth="1"/>
    <col min="7" max="16384" width="8.81640625" style="1"/>
  </cols>
  <sheetData>
    <row r="1" spans="1:11" x14ac:dyDescent="0.35">
      <c r="C1" s="1" t="s">
        <v>2</v>
      </c>
    </row>
    <row r="2" spans="1:11" x14ac:dyDescent="0.35">
      <c r="A2" s="2"/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STR_STAB_1</v>
      </c>
      <c r="F2" s="4" t="str">
        <f>contact_perimeter_flag!F2</f>
        <v>Z_JACKET_1</v>
      </c>
      <c r="G2" s="9" t="str">
        <f>contact_perimeter_flag!G2</f>
        <v>Z_JACKET_2</v>
      </c>
      <c r="H2" s="9" t="str">
        <f>contact_perimeter_flag!H2</f>
        <v>Z_JACKET_3</v>
      </c>
      <c r="I2" s="9" t="str">
        <f>contact_perimeter_flag!I2</f>
        <v>Z_JACKET_4</v>
      </c>
      <c r="J2" s="9" t="str">
        <f>contact_perimeter_flag!J2</f>
        <v>Z_JACKET_5</v>
      </c>
      <c r="K2" s="9" t="str">
        <f>contact_perimeter_flag!K2</f>
        <v>Z_JACKET_6</v>
      </c>
    </row>
    <row r="3" spans="1:11" x14ac:dyDescent="0.35">
      <c r="A3" s="4" t="str">
        <f>B2</f>
        <v>Environment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x14ac:dyDescent="0.35">
      <c r="A4" s="4" t="str">
        <f>C2</f>
        <v>CHAN_1</v>
      </c>
      <c r="B4" s="1">
        <v>0</v>
      </c>
      <c r="C4" s="1">
        <v>0</v>
      </c>
      <c r="D4" s="6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35">
      <c r="A5" s="4" t="str">
        <f>D2</f>
        <v>CHAN_2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x14ac:dyDescent="0.35">
      <c r="A6" s="4" t="str">
        <f>E2</f>
        <v>STR_STAB_1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35">
      <c r="A7" s="4" t="str">
        <f>F2</f>
        <v>Z_JACKET_1</v>
      </c>
      <c r="B7" s="1">
        <v>0</v>
      </c>
      <c r="C7" s="1">
        <f>0</f>
        <v>0</v>
      </c>
      <c r="D7" s="1">
        <f>0</f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35">
      <c r="A8" s="9" t="str">
        <f>contact_perimeter_flag!A8</f>
        <v>Z_JACKET_2</v>
      </c>
      <c r="B8" s="1">
        <v>0</v>
      </c>
      <c r="C8" s="1">
        <f>0</f>
        <v>0</v>
      </c>
      <c r="D8" s="1">
        <f>0</f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35">
      <c r="A9" s="9" t="str">
        <f>contact_perimeter_flag!A9</f>
        <v>Z_JACKET_3</v>
      </c>
      <c r="B9" s="1">
        <v>0</v>
      </c>
      <c r="C9" s="1">
        <f>0</f>
        <v>0</v>
      </c>
      <c r="D9" s="1">
        <f>0</f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35">
      <c r="A10" s="9" t="str">
        <f>contact_perimeter_flag!A10</f>
        <v>Z_JACKET_4</v>
      </c>
      <c r="B10" s="1">
        <v>0</v>
      </c>
      <c r="C10" s="1">
        <f>0</f>
        <v>0</v>
      </c>
      <c r="D10" s="1">
        <f>0</f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35">
      <c r="A11" s="9" t="str">
        <f>contact_perimeter_flag!A11</f>
        <v>Z_JACKET_5</v>
      </c>
      <c r="B11" s="1">
        <v>0</v>
      </c>
      <c r="C11" s="1">
        <f>0</f>
        <v>0</v>
      </c>
      <c r="D11" s="1">
        <f>0</f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35">
      <c r="A12" s="9" t="str">
        <f>contact_perimeter_flag!A12</f>
        <v>Z_JACKET_6</v>
      </c>
      <c r="B12" s="1">
        <v>0</v>
      </c>
      <c r="C12" s="1">
        <f>0</f>
        <v>0</v>
      </c>
      <c r="D12" s="1">
        <f>0</f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1073E0C-B0B4-4CCC-ADAF-F7C7AD75C766}">
            <xm:f>contact_perimeter_flag!$D$4=0</xm:f>
            <x14:dxf>
              <fill>
                <patternFill>
                  <bgColor rgb="FFFFFF00"/>
                </patternFill>
              </fill>
            </x14:dxf>
          </x14:cfRule>
          <x14:cfRule type="expression" priority="2" id="{D8D42210-C82D-40ED-B579-6A74980D2860}">
            <xm:f>contact_perimeter_flag!$D$4=1</xm:f>
            <x14:dxf>
              <fill>
                <patternFill>
                  <bgColor rgb="FF92D050"/>
                </patternFill>
              </fill>
            </x14:dxf>
          </x14:cfRule>
          <xm:sqref>D4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3B1F8-15BE-471B-8C90-C91254905B72}">
  <dimension ref="A1:K12"/>
  <sheetViews>
    <sheetView workbookViewId="0">
      <selection activeCell="B7" sqref="B7:B12"/>
    </sheetView>
  </sheetViews>
  <sheetFormatPr defaultColWidth="8.81640625" defaultRowHeight="14.5" x14ac:dyDescent="0.35"/>
  <cols>
    <col min="1" max="2" width="13.54296875" style="1" bestFit="1" customWidth="1"/>
    <col min="3" max="4" width="7.81640625" style="1" bestFit="1" customWidth="1"/>
    <col min="5" max="5" width="10.54296875" style="1" bestFit="1" customWidth="1"/>
    <col min="6" max="6" width="11.1796875" style="1" bestFit="1" customWidth="1"/>
    <col min="7" max="16384" width="8.81640625" style="1"/>
  </cols>
  <sheetData>
    <row r="1" spans="1:11" x14ac:dyDescent="0.35">
      <c r="C1" s="1" t="s">
        <v>1</v>
      </c>
    </row>
    <row r="2" spans="1:11" x14ac:dyDescent="0.35">
      <c r="A2" s="2"/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STR_STAB_1</v>
      </c>
      <c r="F2" s="4" t="str">
        <f>contact_perimeter_flag!F2</f>
        <v>Z_JACKET_1</v>
      </c>
      <c r="G2" s="9" t="str">
        <f>contact_perimeter_flag!G2</f>
        <v>Z_JACKET_2</v>
      </c>
      <c r="H2" s="9" t="str">
        <f>contact_perimeter_flag!H2</f>
        <v>Z_JACKET_3</v>
      </c>
      <c r="I2" s="9" t="str">
        <f>contact_perimeter_flag!I2</f>
        <v>Z_JACKET_4</v>
      </c>
      <c r="J2" s="9" t="str">
        <f>contact_perimeter_flag!J2</f>
        <v>Z_JACKET_5</v>
      </c>
      <c r="K2" s="9" t="str">
        <f>contact_perimeter_flag!K2</f>
        <v>Z_JACKET_6</v>
      </c>
    </row>
    <row r="3" spans="1:11" x14ac:dyDescent="0.35">
      <c r="A3" s="4" t="str">
        <f>B2</f>
        <v>Environment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x14ac:dyDescent="0.35">
      <c r="A4" s="4" t="str">
        <f>C2</f>
        <v>CHAN_1</v>
      </c>
      <c r="B4" s="1">
        <v>0</v>
      </c>
      <c r="C4" s="1">
        <v>0</v>
      </c>
      <c r="D4" s="3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35">
      <c r="A5" s="4" t="str">
        <f>D2</f>
        <v>CHAN_2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x14ac:dyDescent="0.35">
      <c r="A6" s="4" t="str">
        <f>E2</f>
        <v>STR_STAB_1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35">
      <c r="A7" s="4" t="str">
        <f>F2</f>
        <v>Z_JACKET_1</v>
      </c>
      <c r="B7" s="1">
        <v>0</v>
      </c>
      <c r="C7" s="1">
        <f>0</f>
        <v>0</v>
      </c>
      <c r="D7" s="1">
        <f>0</f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35">
      <c r="A8" s="9" t="str">
        <f>contact_perimeter_flag!A8</f>
        <v>Z_JACKET_2</v>
      </c>
      <c r="B8" s="1">
        <v>0</v>
      </c>
      <c r="C8" s="1">
        <f>0</f>
        <v>0</v>
      </c>
      <c r="D8" s="1">
        <f>0</f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35">
      <c r="A9" s="9" t="str">
        <f>contact_perimeter_flag!A9</f>
        <v>Z_JACKET_3</v>
      </c>
      <c r="B9" s="1">
        <v>0</v>
      </c>
      <c r="C9" s="1">
        <f>0</f>
        <v>0</v>
      </c>
      <c r="D9" s="1">
        <f>0</f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35">
      <c r="A10" s="9" t="str">
        <f>contact_perimeter_flag!A10</f>
        <v>Z_JACKET_4</v>
      </c>
      <c r="B10" s="1">
        <v>0</v>
      </c>
      <c r="C10" s="1">
        <f>0</f>
        <v>0</v>
      </c>
      <c r="D10" s="1">
        <f>0</f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35">
      <c r="A11" s="9" t="str">
        <f>contact_perimeter_flag!A11</f>
        <v>Z_JACKET_5</v>
      </c>
      <c r="B11" s="1">
        <v>0</v>
      </c>
      <c r="C11" s="1">
        <f>0</f>
        <v>0</v>
      </c>
      <c r="D11" s="1">
        <f>0</f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35">
      <c r="A12" s="9" t="str">
        <f>contact_perimeter_flag!A12</f>
        <v>Z_JACKET_6</v>
      </c>
      <c r="B12" s="1">
        <v>0</v>
      </c>
      <c r="C12" s="1">
        <f>0</f>
        <v>0</v>
      </c>
      <c r="D12" s="1">
        <f>0</f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75370F1-6A9D-44F9-97E7-5F19EF16D901}">
            <xm:f>contact_perimeter_flag!$D$4=0</xm:f>
            <x14:dxf>
              <fill>
                <patternFill>
                  <bgColor rgb="FFFFFF00"/>
                </patternFill>
              </fill>
            </x14:dxf>
          </x14:cfRule>
          <x14:cfRule type="expression" priority="2" id="{D8851FDB-4F41-4BDA-A3BC-4D0318F65BF8}">
            <xm:f>contact_perimeter_flag!$D$4=1</xm:f>
            <x14:dxf>
              <fill>
                <patternFill>
                  <bgColor rgb="FF92D050"/>
                </patternFill>
              </fill>
            </x14:dxf>
          </x14:cfRule>
          <xm:sqref>D4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28F5-9BDA-4746-9BD5-872CA60F8FA3}">
  <dimension ref="A1:K12"/>
  <sheetViews>
    <sheetView tabSelected="1" workbookViewId="0">
      <selection activeCell="I10" sqref="I10"/>
    </sheetView>
  </sheetViews>
  <sheetFormatPr defaultRowHeight="14.5" x14ac:dyDescent="0.35"/>
  <cols>
    <col min="1" max="2" width="13.54296875" bestFit="1" customWidth="1"/>
    <col min="3" max="4" width="7.54296875" bestFit="1" customWidth="1"/>
    <col min="5" max="5" width="10.1796875" bestFit="1" customWidth="1"/>
    <col min="6" max="6" width="10.54296875" bestFit="1" customWidth="1"/>
    <col min="7" max="11" width="10.81640625" bestFit="1" customWidth="1"/>
  </cols>
  <sheetData>
    <row r="1" spans="1:11" x14ac:dyDescent="0.35">
      <c r="C1" t="s">
        <v>8</v>
      </c>
    </row>
    <row r="2" spans="1:11" x14ac:dyDescent="0.35"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STR_STAB_1</v>
      </c>
      <c r="F2" s="4" t="str">
        <f>contact_perimeter_flag!F2</f>
        <v>Z_JACKET_1</v>
      </c>
      <c r="G2" s="4" t="str">
        <f>contact_perimeter_flag!G2</f>
        <v>Z_JACKET_2</v>
      </c>
      <c r="H2" s="4" t="str">
        <f>contact_perimeter_flag!H2</f>
        <v>Z_JACKET_3</v>
      </c>
      <c r="I2" s="4" t="str">
        <f>contact_perimeter_flag!I2</f>
        <v>Z_JACKET_4</v>
      </c>
      <c r="J2" s="4" t="str">
        <f>contact_perimeter_flag!J2</f>
        <v>Z_JACKET_5</v>
      </c>
      <c r="K2" s="4" t="str">
        <f>contact_perimeter_flag!K2</f>
        <v>Z_JACKET_6</v>
      </c>
    </row>
    <row r="3" spans="1:11" x14ac:dyDescent="0.35">
      <c r="A3" s="4" t="str">
        <f>B2</f>
        <v>Environment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</v>
      </c>
    </row>
    <row r="4" spans="1:11" x14ac:dyDescent="0.35">
      <c r="A4" s="4" t="str">
        <f>C2</f>
        <v>CHAN_1</v>
      </c>
      <c r="B4" s="1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s="4" t="str">
        <f>D2</f>
        <v>CHAN_2</v>
      </c>
      <c r="B5" s="1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s="4" t="str">
        <f>E2</f>
        <v>STR_STAB_1</v>
      </c>
      <c r="B6" s="1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s="4" t="str">
        <f>F2</f>
        <v>Z_JACKET_1</v>
      </c>
      <c r="B7" s="1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</row>
    <row r="8" spans="1:11" x14ac:dyDescent="0.35">
      <c r="A8" s="9" t="str">
        <f>contact_perimeter_flag!A8</f>
        <v>Z_JACKET_2</v>
      </c>
      <c r="B8" s="1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</row>
    <row r="9" spans="1:11" x14ac:dyDescent="0.35">
      <c r="A9" s="9" t="str">
        <f>contact_perimeter_flag!A9</f>
        <v>Z_JACKET_3</v>
      </c>
      <c r="B9" s="1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s="9" t="str">
        <f>contact_perimeter_flag!A10</f>
        <v>Z_JACKET_4</v>
      </c>
      <c r="B10" s="1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</row>
    <row r="11" spans="1:11" x14ac:dyDescent="0.35">
      <c r="A11" s="9" t="str">
        <f>contact_perimeter_flag!A11</f>
        <v>Z_JACKET_5</v>
      </c>
      <c r="B11" s="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</row>
    <row r="12" spans="1:11" x14ac:dyDescent="0.35">
      <c r="A12" s="9" t="str">
        <f>contact_perimeter_flag!A12</f>
        <v>Z_JACKET_6</v>
      </c>
      <c r="B12" s="1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contact_perimeter_flag</vt:lpstr>
      <vt:lpstr>contact_perimeter</vt:lpstr>
      <vt:lpstr>HTC_choice</vt:lpstr>
      <vt:lpstr>contact_HTC</vt:lpstr>
      <vt:lpstr>thermal_contact_resistance</vt:lpstr>
      <vt:lpstr>HTC_multiplier</vt:lpstr>
      <vt:lpstr>electric_conductance_mode</vt:lpstr>
      <vt:lpstr>electric_conductance</vt:lpstr>
      <vt:lpstr>open_perimeter_fract</vt:lpstr>
      <vt:lpstr>interf_thickness</vt:lpstr>
      <vt:lpstr>trans_transp_multiplier</vt:lpstr>
      <vt:lpstr>view_factors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2019-12-16T12:57:36Z</dcterms:created>
  <dcterms:modified xsi:type="dcterms:W3CDTF">2024-04-02T12:48:37Z</dcterms:modified>
</cp:coreProperties>
</file>